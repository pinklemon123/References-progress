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26195c69b240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423c329e1c14eb1"/>
    <x:sheet xmlns:r="http://schemas.openxmlformats.org/officeDocument/2006/relationships" name="Model_Notes" sheetId="2" r:id="R9d23f578c6da4583"/>
    <x:sheet xmlns:r="http://schemas.openxmlformats.org/officeDocument/2006/relationships" name="Case1" sheetId="3" r:id="Rc8eb040af66a45e6"/>
    <x:sheet xmlns:r="http://schemas.openxmlformats.org/officeDocument/2006/relationships" name="Case2" sheetId="4" r:id="R18a0bd33f496482a"/>
    <x:sheet xmlns:r="http://schemas.openxmlformats.org/officeDocument/2006/relationships" name="Case3" sheetId="5" r:id="Rd4fa3733cbcc4f97"/>
    <x:sheet xmlns:r="http://schemas.openxmlformats.org/officeDocument/2006/relationships" name="Case4" sheetId="6" r:id="Rd84adea904814c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00"/>
    <x:numFmt numFmtId="202" formatCode="0.0%"/>
    <x:numFmt numFmtId="203" formatCode="0.00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66666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EF5FA"/>
      </x:patternFill>
    </x:fill>
    <x:fill>
      <x:patternFill patternType="solid">
        <x:fgColor rgb="FFE2F0D9"/>
      </x:patternFill>
    </x:fill>
  </x:fills>
  <x:borders count="7">
    <x:border/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B4C6E7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2" fontId="0" fillId="0" borderId="4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202" fontId="0" fillId="0" borderId="6" xfId="0" applyNumberFormat="1" applyFont="1" applyFill="1" applyBorder="1" applyAlignment="1">
      <x:alignment vertical="center"/>
    </x:xf>
    <x:xf numFmtId="0" fontId="0" fillId="4" borderId="4" xfId="0" applyNumberFormat="1" applyFont="1" applyFill="1" applyBorder="1" applyAlignment="1">
      <x:alignment vertical="center"/>
    </x:xf>
    <x:xf numFmtId="0" fontId="0" fillId="4" borderId="5" xfId="0" applyNumberFormat="1" applyFont="1" applyFill="1" applyBorder="1" applyAlignment="1">
      <x:alignment vertical="center"/>
    </x:xf>
    <x:xf numFmtId="0" fontId="0" fillId="4" borderId="6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203" fontId="0" fillId="0" borderId="4" xfId="0" applyNumberFormat="1" applyFont="1" applyFill="1" applyBorder="1" applyAlignment="1">
      <x:alignment vertical="center"/>
    </x:xf>
    <x:xf numFmtId="203" fontId="0" fillId="0" borderId="5" xfId="0" applyNumberFormat="1" applyFont="1" applyFill="1" applyBorder="1" applyAlignment="1">
      <x:alignment vertical="center"/>
    </x:xf>
    <x:xf numFmtId="203" fontId="0" fillId="0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ce31b3fe904ed0" /><Relationship Type="http://schemas.openxmlformats.org/officeDocument/2006/relationships/theme" Target="/xl/theme/theme1.xml" Id="Rbaaa3a900ac2488a" /><Relationship Type="http://schemas.openxmlformats.org/officeDocument/2006/relationships/sharedStrings" Target="/xl/sharedStrings.xml" Id="R481f8b5ca8644125" /><Relationship Type="http://schemas.openxmlformats.org/officeDocument/2006/relationships/worksheet" Target="/xl/worksheets/sheet1.xml" Id="R3423c329e1c14eb1" /><Relationship Type="http://schemas.openxmlformats.org/officeDocument/2006/relationships/worksheet" Target="/xl/worksheets/sheet2.xml" Id="R9d23f578c6da4583" /><Relationship Type="http://schemas.openxmlformats.org/officeDocument/2006/relationships/worksheet" Target="/xl/worksheets/sheet3.xml" Id="Rc8eb040af66a45e6" /><Relationship Type="http://schemas.openxmlformats.org/officeDocument/2006/relationships/worksheet" Target="/xl/worksheets/sheet4.xml" Id="R18a0bd33f496482a" /><Relationship Type="http://schemas.openxmlformats.org/officeDocument/2006/relationships/worksheet" Target="/xl/worksheets/sheet5.xml" Id="Rd4fa3733cbcc4f97" /><Relationship Type="http://schemas.openxmlformats.org/officeDocument/2006/relationships/worksheet" Target="/xl/worksheets/sheet6.xml" Id="Rd84adea904814c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15" hidden="0" customHeight="1">
      <x:c r="A1" s="4" t="str">
        <x:v>问题二：固定问题一完成时间上界的工作负载均衡结果</x:v>
      </x:c>
      <x:c r="B1" s="4"/>
      <x:c r="C1" s="4"/>
      <x:c r="D1" s="4"/>
      <x:c r="E1" s="4"/>
      <x:c r="F1" s="4"/>
    </x:row>
    <x:row r="2" ht="15" hidden="0" customHeight="1">
      <x:c r="A2" s="7" t="str">
        <x:v>主结果取 ε=0；工作时间仅含实际飞行与有效巡检服务，等待时间恒为0。</x:v>
      </x:c>
      <x:c r="B2" s="7"/>
      <x:c r="C2" s="7"/>
      <x:c r="D2" s="7"/>
      <x:c r="E2" s="7"/>
      <x:c r="F2" s="7"/>
    </x:row>
    <x:row r="3"/>
    <x:row r="4" ht="15" hidden="0" customHeight="1">
      <x:c r="A4" s="17" t="str">
        <x:v>测试算例</x:v>
      </x:c>
      <x:c r="B4" s="18" t="str">
        <x:v>无人机数量 N</x:v>
      </x:c>
      <x:c r="C4" s="18" t="str">
        <x:v>Tmax (h)</x:v>
      </x:c>
      <x:c r="D4" s="18" t="str">
        <x:v>Tmin (h)</x:v>
      </x:c>
      <x:c r="E4" s="18" t="str">
        <x:v>δ=Tmax-Tmin (h)</x:v>
      </x:c>
      <x:c r="F4" s="19" t="str">
        <x:v>总工作时间 (h)</x:v>
      </x:c>
    </x:row>
    <x:row r="5" ht="15" hidden="0" customHeight="1">
      <x:c r="A5" s="23" t="str">
        <x:v>Case1</x:v>
      </x:c>
      <x:c r="B5" s="26" t="n">
        <x:v>4</x:v>
      </x:c>
      <x:c r="C5" s="29" t="n">
        <x:v>8.611061939184689</x:v>
      </x:c>
      <x:c r="D5" s="29" t="n">
        <x:v>8.593689996685775</x:v>
      </x:c>
      <x:c r="E5" s="29" t="n">
        <x:f>C5-D5</x:f>
        <x:v>0.017371942498913384</x:v>
      </x:c>
      <x:c r="F5" s="29" t="n">
        <x:v>34.402074866471395</x:v>
      </x:c>
    </x:row>
    <x:row r="6" ht="15" hidden="0" customHeight="1">
      <x:c r="A6" s="24" t="str">
        <x:v>Case2</x:v>
      </x:c>
      <x:c r="B6" s="27" t="n">
        <x:v>2</x:v>
      </x:c>
      <x:c r="C6" s="30" t="n">
        <x:v>7.584066597300819</x:v>
      </x:c>
      <x:c r="D6" s="30" t="n">
        <x:v>7.573728900464378</x:v>
      </x:c>
      <x:c r="E6" s="30" t="n">
        <x:f>C6-D6</x:f>
        <x:v>0.010337696836440813</x:v>
      </x:c>
      <x:c r="F6" s="30" t="n">
        <x:v>15.157795497765196</x:v>
      </x:c>
    </x:row>
    <x:row r="7" ht="15" hidden="0" customHeight="1">
      <x:c r="A7" s="24" t="str">
        <x:v>Case3</x:v>
      </x:c>
      <x:c r="B7" s="27" t="n">
        <x:v>5</x:v>
      </x:c>
      <x:c r="C7" s="30" t="n">
        <x:v>8.282367168761901</x:v>
      </x:c>
      <x:c r="D7" s="30" t="n">
        <x:v>8.25860067786638</x:v>
      </x:c>
      <x:c r="E7" s="30" t="n">
        <x:f>C7-D7</x:f>
        <x:v>0.02376649089552174</x:v>
      </x:c>
      <x:c r="F7" s="30" t="n">
        <x:v>41.37670467250793</x:v>
      </x:c>
    </x:row>
    <x:row r="8" ht="15" hidden="0" customHeight="1">
      <x:c r="A8" s="25" t="str">
        <x:v>Case4</x:v>
      </x:c>
      <x:c r="B8" s="28" t="n">
        <x:v>4</x:v>
      </x:c>
      <x:c r="C8" s="31" t="n">
        <x:v>8.619682767697247</x:v>
      </x:c>
      <x:c r="D8" s="31" t="n">
        <x:v>8.612010320567498</x:v>
      </x:c>
      <x:c r="E8" s="31" t="n">
        <x:f>C8-D8</x:f>
        <x:v>0.007672447129749571</x:v>
      </x:c>
      <x:c r="F8" s="31" t="n">
        <x:v>34.457768295292254</x:v>
      </x:c>
    </x:row>
    <x:row r="9"/>
    <x:row r="10"/>
    <x:row r="11" ht="15" hidden="0" customHeight="1">
      <x:c r="A11" s="17" t="str">
        <x:v>测试算例</x:v>
      </x:c>
      <x:c r="B11" s="18" t="str">
        <x:v>问题一 δ (h)</x:v>
      </x:c>
      <x:c r="C11" s="18" t="str">
        <x:v>问题二 δ (h)</x:v>
      </x:c>
      <x:c r="D11" s="18" t="str">
        <x:v>极差下降量 (h)</x:v>
      </x:c>
      <x:c r="E11" s="18" t="str">
        <x:v>下降比例</x:v>
      </x:c>
      <x:c r="F11" s="19" t="str">
        <x:v>完成时间上界检查</x:v>
      </x:c>
    </x:row>
    <x:row r="12" ht="15" hidden="0" customHeight="1">
      <x:c r="A12" s="23" t="str">
        <x:v>Case1</x:v>
      </x:c>
      <x:c r="B12" s="29" t="n">
        <x:v>0.062301978365459476</x:v>
      </x:c>
      <x:c r="C12" s="29" t="n">
        <x:f>E5</x:f>
        <x:v>0.017371942498913384</x:v>
      </x:c>
      <x:c r="D12" s="29" t="n">
        <x:f>B12-C12</x:f>
        <x:v>0.04493003586654609</x:v>
      </x:c>
      <x:c r="E12" s="32" t="n">
        <x:f>IF(B12=0,0,D12/B12)</x:f>
        <x:v>0.7211654757251742</x:v>
      </x:c>
      <x:c r="F12" s="35" t="str">
        <x:f>IF(C5&lt;=8.611061939184689+1E-8,"通过","未通过")</x:f>
        <x:v>通过</x:v>
      </x:c>
    </x:row>
    <x:row r="13" ht="15" hidden="0" customHeight="1">
      <x:c r="A13" s="24" t="str">
        <x:v>Case2</x:v>
      </x:c>
      <x:c r="B13" s="30" t="n">
        <x:v>0.011453110534996647</x:v>
      </x:c>
      <x:c r="C13" s="30" t="n">
        <x:f>E6</x:f>
        <x:v>0.010337696836440813</x:v>
      </x:c>
      <x:c r="D13" s="30" t="n">
        <x:f>B13-C13</x:f>
        <x:v>0.0011154136985558338</x:v>
      </x:c>
      <x:c r="E13" s="33" t="n">
        <x:f>IF(B13=0,0,D13/B13)</x:f>
        <x:v>0.09738958644881011</x:v>
      </x:c>
      <x:c r="F13" s="36" t="str">
        <x:f>IF(C6&lt;=7.58896136604038+1E-8,"通过","未通过")</x:f>
        <x:v>通过</x:v>
      </x:c>
    </x:row>
    <x:row r="14" ht="15" hidden="0" customHeight="1">
      <x:c r="A14" s="24" t="str">
        <x:v>Case3</x:v>
      </x:c>
      <x:c r="B14" s="30" t="n">
        <x:v>0.04086927208449431</x:v>
      </x:c>
      <x:c r="C14" s="30" t="n">
        <x:f>E7</x:f>
        <x:v>0.02376649089552174</x:v>
      </x:c>
      <x:c r="D14" s="30" t="n">
        <x:f>B14-C14</x:f>
        <x:v>0.01710278118897257</x:v>
      </x:c>
      <x:c r="E14" s="33" t="n">
        <x:f>IF(B14=0,0,D14/B14)</x:f>
        <x:v>0.41847530716020065</x:v>
      </x:c>
      <x:c r="F14" s="36" t="str">
        <x:f>IF(C7&lt;=8.287629729774915+1E-8,"通过","未通过")</x:f>
        <x:v>通过</x:v>
      </x:c>
    </x:row>
    <x:row r="15" ht="15" hidden="0" customHeight="1">
      <x:c r="A15" s="25" t="str">
        <x:v>Case4</x:v>
      </x:c>
      <x:c r="B15" s="31" t="n">
        <x:v>0.020504532109764995</x:v>
      </x:c>
      <x:c r="C15" s="31" t="n">
        <x:f>E8</x:f>
        <x:v>0.007672447129749571</x:v>
      </x:c>
      <x:c r="D15" s="31" t="n">
        <x:f>B15-C15</x:f>
        <x:v>0.012832084980015424</x:v>
      </x:c>
      <x:c r="E15" s="34" t="n">
        <x:f>IF(B15=0,0,D15/B15)</x:f>
        <x:v>0.6258170101771952</x:v>
      </x:c>
      <x:c r="F15" s="37" t="str">
        <x:f>IF(C8&lt;=8.626308636809997+1E-8,"通过","未通过")</x:f>
        <x:v>通过</x:v>
      </x:c>
    </x:row>
    <x:row r="16"/>
    <x:row r="17"/>
    <x:row r="18"/>
    <x:row r="19"/>
    <x:row r="20"/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8" hidden="0" customWidth="1"/>
  </x:cols>
  <x:sheetData>
    <x:row r="1" ht="15" hidden="0" customHeight="1">
      <x:c r="A1" s="17" t="str">
        <x:v>项目</x:v>
      </x:c>
      <x:c r="B1" s="19" t="str">
        <x:v>说明</x:v>
      </x:c>
    </x:row>
    <x:row r="2" ht="15" hidden="0" customHeight="1">
      <x:c r="A2" s="38" t="str">
        <x:v>固定数量</x:v>
      </x:c>
      <x:c r="B2" s="38" t="str">
        <x:v>各算例固定采用问题一最终方案的无人机数量，不重新搜索 N。</x:v>
      </x:c>
    </x:row>
    <x:row r="3" ht="15" hidden="0" customHeight="1">
      <x:c r="A3" s="39" t="str">
        <x:v>完成时间保护</x:v>
      </x:c>
      <x:c r="B3" s="39" t="str">
        <x:v>Tmax(问题二) ≤ Tmax(问题一)+ε，主结果 ε=0。</x:v>
      </x:c>
    </x:row>
    <x:row r="4" ht="15" hidden="0" customHeight="1">
      <x:c r="A4" s="39" t="str">
        <x:v>均衡指标</x:v>
      </x:c>
      <x:c r="B4" s="39" t="str">
        <x:v>δ=Tmax−Tmin，目标按 (δ,Tmax,总工作时间) 词典序比较。</x:v>
      </x:c>
    </x:row>
    <x:row r="5" ht="15" hidden="0" customHeight="1">
      <x:c r="A5" s="39" t="str">
        <x:v>继承约束</x:v>
      </x:c>
      <x:c r="B5" s="39" t="str">
        <x:v>完整继承任务副本、基地出发返回、巡检次数、禁止同点连续巡检及9小时限制。</x:v>
      </x:c>
    </x:row>
    <x:row r="6" ht="15" hidden="0" customHeight="1">
      <x:c r="A6" s="39" t="str">
        <x:v>搜索算子</x:v>
      </x:c>
      <x:c r="B6" s="39" t="str">
        <x:v>重载到轻载任务迁移、路线间交换、合法2-opt、模拟退火、多随机种子与确定性精修。</x:v>
      </x:c>
    </x:row>
    <x:row r="7" ht="15" hidden="0" customHeight="1">
      <x:c r="A7" s="39" t="str">
        <x:v>无等待</x:v>
      </x:c>
      <x:c r="B7" s="39" t="str">
        <x:v>等待时间恒为0；工作时间仅由实际飞行时间和每次5分钟有效巡检服务构成。</x:v>
      </x:c>
    </x:row>
    <x:row r="8" ht="15" hidden="0" customHeight="1">
      <x:c r="A8" s="39" t="str">
        <x:v>结果性质</x:v>
      </x:c>
      <x:c r="B8" s="39" t="str">
        <x:v>启发式算法当前找到的最好可行方案，不宣称已证明全局最优。</x:v>
      </x:c>
    </x:row>
    <x:row r="9" ht="15" hidden="0" customHeight="1">
      <x:c r="A9" s="40" t="str">
        <x:v>校验</x:v>
      </x:c>
      <x:c r="B9" s="40" t="str">
        <x:v>JSON输出已由独立复算程序检查巡检次数、路线合法性、距离、时间、上界与9小时约束。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8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  <x:col min="31" max="31" width="8" hidden="0" customWidth="1"/>
    <x:col min="32" max="32" width="8" hidden="0" customWidth="1"/>
    <x:col min="33" max="33" width="8" hidden="0" customWidth="1"/>
    <x:col min="34" max="34" width="8" hidden="0" customWidth="1"/>
    <x:col min="35" max="35" width="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</x:cols>
  <x:sheetData>
    <x:row r="1" ht="39.599998474121094" hidden="0" customHeight="1">
      <x:c r="A1" s="17" t="str">
        <x:v>UAV ID</x:v>
      </x:c>
      <x:c r="B1" s="18" t="str">
        <x:v>1th Inspection Point</x:v>
      </x:c>
      <x:c r="C1" s="18" t="str">
        <x:v>2th Inspection Point</x:v>
      </x:c>
      <x:c r="D1" s="18" t="str">
        <x:v>3th Inspection Point</x:v>
      </x:c>
      <x:c r="E1" s="18" t="str">
        <x:v>4th Inspection Point</x:v>
      </x:c>
      <x:c r="F1" s="18" t="str">
        <x:v>5th Inspection Point</x:v>
      </x:c>
      <x:c r="G1" s="18" t="str">
        <x:v>6th Inspection Point</x:v>
      </x:c>
      <x:c r="H1" s="18" t="str">
        <x:v>7th Inspection Point</x:v>
      </x:c>
      <x:c r="I1" s="18" t="str">
        <x:v>8th Inspection Point</x:v>
      </x:c>
      <x:c r="J1" s="18" t="str">
        <x:v>9th Inspection Point</x:v>
      </x:c>
      <x:c r="K1" s="18" t="str">
        <x:v>10th Inspection Point</x:v>
      </x:c>
      <x:c r="L1" s="18" t="str">
        <x:v>11th Inspection Point</x:v>
      </x:c>
      <x:c r="M1" s="18" t="str">
        <x:v>12th Inspection Point</x:v>
      </x:c>
      <x:c r="N1" s="18" t="str">
        <x:v>13th Inspection Point</x:v>
      </x:c>
      <x:c r="O1" s="18" t="str">
        <x:v>14th Inspection Point</x:v>
      </x:c>
      <x:c r="P1" s="18" t="str">
        <x:v>15th Inspection Point</x:v>
      </x:c>
      <x:c r="Q1" s="18" t="str">
        <x:v>16th Inspection Point</x:v>
      </x:c>
      <x:c r="R1" s="18" t="str">
        <x:v>17th Inspection Point</x:v>
      </x:c>
      <x:c r="S1" s="18" t="str">
        <x:v>18th Inspection Point</x:v>
      </x:c>
      <x:c r="T1" s="18" t="str">
        <x:v>19th Inspection Point</x:v>
      </x:c>
      <x:c r="U1" s="18" t="str">
        <x:v>20th Inspection Point</x:v>
      </x:c>
      <x:c r="V1" s="18" t="str">
        <x:v>21th Inspection Point</x:v>
      </x:c>
      <x:c r="W1" s="18" t="str">
        <x:v>22th Inspection Point</x:v>
      </x:c>
      <x:c r="X1" s="18" t="str">
        <x:v>23th Inspection Point</x:v>
      </x:c>
      <x:c r="Y1" s="18" t="str">
        <x:v>24th Inspection Point</x:v>
      </x:c>
      <x:c r="Z1" s="18" t="str">
        <x:v>25th Inspection Point</x:v>
      </x:c>
      <x:c r="AA1" s="18" t="str">
        <x:v>26th Inspection Point</x:v>
      </x:c>
      <x:c r="AB1" s="18" t="str">
        <x:v>27th Inspection Point</x:v>
      </x:c>
      <x:c r="AC1" s="18" t="str">
        <x:v>28th Inspection Point</x:v>
      </x:c>
      <x:c r="AD1" s="18" t="str">
        <x:v>29th Inspection Point</x:v>
      </x:c>
      <x:c r="AE1" s="18" t="str">
        <x:v>30th Inspection Point</x:v>
      </x:c>
      <x:c r="AF1" s="18" t="str">
        <x:v>31th Inspection Point</x:v>
      </x:c>
      <x:c r="AG1" s="18" t="str">
        <x:v>32th Inspection Point</x:v>
      </x:c>
      <x:c r="AH1" s="18" t="str">
        <x:v>33th Inspection Point</x:v>
      </x:c>
      <x:c r="AI1" s="18" t="str">
        <x:v>34th Inspection Point</x:v>
      </x:c>
      <x:c r="AJ1" s="18" t="str">
        <x:v>Flight Distance (km)</x:v>
      </x:c>
      <x:c r="AK1" s="18" t="str">
        <x:v>Inspection Count</x:v>
      </x:c>
      <x:c r="AL1" s="18" t="str">
        <x:v>Working Time (h)</x:v>
      </x:c>
      <x:c r="AM1" s="19" t="str">
        <x:v>Waiting Time (h)</x:v>
      </x:c>
    </x:row>
    <x:row r="2" ht="15" hidden="0" customHeight="1">
      <x:c r="A2" s="23" t="n">
        <x:v>1</x:v>
      </x:c>
      <x:c r="B2" s="23" t="n">
        <x:v>0</x:v>
      </x:c>
      <x:c r="C2" s="23" t="n">
        <x:v>29</x:v>
      </x:c>
      <x:c r="D2" s="23" t="n">
        <x:v>26</x:v>
      </x:c>
      <x:c r="E2" s="23" t="n">
        <x:v>28</x:v>
      </x:c>
      <x:c r="F2" s="23" t="n">
        <x:v>27</x:v>
      </x:c>
      <x:c r="G2" s="23" t="n">
        <x:v>28</x:v>
      </x:c>
      <x:c r="H2" s="23" t="n">
        <x:v>27</x:v>
      </x:c>
      <x:c r="I2" s="23" t="n">
        <x:v>28</x:v>
      </x:c>
      <x:c r="J2" s="23" t="n">
        <x:v>51</x:v>
      </x:c>
      <x:c r="K2" s="23" t="n">
        <x:v>43</x:v>
      </x:c>
      <x:c r="L2" s="23" t="n">
        <x:v>45</x:v>
      </x:c>
      <x:c r="M2" s="23" t="n">
        <x:v>3</x:v>
      </x:c>
      <x:c r="N2" s="23" t="n">
        <x:v>17</x:v>
      </x:c>
      <x:c r="O2" s="23" t="n">
        <x:v>7</x:v>
      </x:c>
      <x:c r="P2" s="23" t="n">
        <x:v>0</x:v>
      </x:c>
      <x:c r="Q2" s="23"/>
      <x:c r="R2" s="23"/>
      <x:c r="S2" s="23"/>
      <x:c r="T2" s="23"/>
      <x:c r="U2" s="23"/>
      <x:c r="V2" s="23"/>
      <x:c r="W2" s="23"/>
      <x:c r="X2" s="23"/>
      <x:c r="Y2" s="23"/>
      <x:c r="Z2" s="23"/>
      <x:c r="AA2" s="23"/>
      <x:c r="AB2" s="23"/>
      <x:c r="AC2" s="23"/>
      <x:c r="AD2" s="23"/>
      <x:c r="AE2" s="23"/>
      <x:c r="AF2" s="23"/>
      <x:c r="AG2" s="23"/>
      <x:c r="AH2" s="23"/>
      <x:c r="AI2" s="23"/>
      <x:c r="AJ2" s="41" t="n">
        <x:v>414.02507332182455</x:v>
      </x:c>
      <x:c r="AK2" s="26" t="n">
        <x:v>13</x:v>
      </x:c>
      <x:c r="AL2" s="29" t="n">
        <x:v>8.611061939184689</x:v>
      </x:c>
      <x:c r="AM2" s="29" t="n">
        <x:v>0</x:v>
      </x:c>
    </x:row>
    <x:row r="3" ht="15" hidden="0" customHeight="1">
      <x:c r="A3" s="24" t="n">
        <x:v>2</x:v>
      </x:c>
      <x:c r="B3" s="24" t="n">
        <x:v>0</x:v>
      </x:c>
      <x:c r="C3" s="24" t="n">
        <x:v>47</x:v>
      </x:c>
      <x:c r="D3" s="24" t="n">
        <x:v>13</x:v>
      </x:c>
      <x:c r="E3" s="24" t="n">
        <x:v>14</x:v>
      </x:c>
      <x:c r="F3" s="24" t="n">
        <x:v>52</x:v>
      </x:c>
      <x:c r="G3" s="24" t="n">
        <x:v>11</x:v>
      </x:c>
      <x:c r="H3" s="24" t="n">
        <x:v>51</x:v>
      </x:c>
      <x:c r="I3" s="24" t="n">
        <x:v>12</x:v>
      </x:c>
      <x:c r="J3" s="24" t="n">
        <x:v>25</x:v>
      </x:c>
      <x:c r="K3" s="24" t="n">
        <x:v>46</x:v>
      </x:c>
      <x:c r="L3" s="24" t="n">
        <x:v>50</x:v>
      </x:c>
      <x:c r="M3" s="24" t="n">
        <x:v>0</x:v>
      </x:c>
      <x:c r="N3" s="24"/>
      <x:c r="O3" s="24"/>
      <x:c r="P3" s="24"/>
      <x:c r="Q3" s="24"/>
      <x:c r="R3" s="24"/>
      <x:c r="S3" s="24"/>
      <x:c r="T3" s="24"/>
      <x:c r="U3" s="24"/>
      <x:c r="V3" s="24"/>
      <x:c r="W3" s="24"/>
      <x:c r="X3" s="24"/>
      <x:c r="Y3" s="24"/>
      <x:c r="Z3" s="24"/>
      <x:c r="AA3" s="24"/>
      <x:c r="AB3" s="24"/>
      <x:c r="AC3" s="24"/>
      <x:c r="AD3" s="24"/>
      <x:c r="AE3" s="24"/>
      <x:c r="AF3" s="24"/>
      <x:c r="AG3" s="24"/>
      <x:c r="AH3" s="24"/>
      <x:c r="AI3" s="24"/>
      <x:c r="AJ3" s="42" t="n">
        <x:v>427.2455728988373</x:v>
      </x:c>
      <x:c r="AK3" s="27" t="n">
        <x:v>10</x:v>
      </x:c>
      <x:c r="AL3" s="30" t="n">
        <x:v>8.601434658766738</x:v>
      </x:c>
      <x:c r="AM3" s="30" t="n">
        <x:v>0</x:v>
      </x:c>
    </x:row>
    <x:row r="4" ht="15" hidden="0" customHeight="1">
      <x:c r="A4" s="24" t="n">
        <x:v>3</x:v>
      </x:c>
      <x:c r="B4" s="24" t="n">
        <x:v>0</x:v>
      </x:c>
      <x:c r="C4" s="24" t="n">
        <x:v>21</x:v>
      </x:c>
      <x:c r="D4" s="24" t="n">
        <x:v>18</x:v>
      </x:c>
      <x:c r="E4" s="24" t="n">
        <x:v>45</x:v>
      </x:c>
      <x:c r="F4" s="24" t="n">
        <x:v>19</x:v>
      </x:c>
      <x:c r="G4" s="24" t="n">
        <x:v>41</x:v>
      </x:c>
      <x:c r="H4" s="24" t="n">
        <x:v>8</x:v>
      </x:c>
      <x:c r="I4" s="24" t="n">
        <x:v>9</x:v>
      </x:c>
      <x:c r="J4" s="24" t="n">
        <x:v>10</x:v>
      </x:c>
      <x:c r="K4" s="24" t="n">
        <x:v>43</x:v>
      </x:c>
      <x:c r="L4" s="24" t="n">
        <x:v>33</x:v>
      </x:c>
      <x:c r="M4" s="24" t="n">
        <x:v>43</x:v>
      </x:c>
      <x:c r="N4" s="24" t="n">
        <x:v>34</x:v>
      </x:c>
      <x:c r="O4" s="24" t="n">
        <x:v>44</x:v>
      </x:c>
      <x:c r="P4" s="24" t="n">
        <x:v>50</x:v>
      </x:c>
      <x:c r="Q4" s="24" t="n">
        <x:v>20</x:v>
      </x:c>
      <x:c r="R4" s="24" t="n">
        <x:v>23</x:v>
      </x:c>
      <x:c r="S4" s="24" t="n">
        <x:v>30</x:v>
      </x:c>
      <x:c r="T4" s="24" t="n">
        <x:v>0</x:v>
      </x:c>
      <x:c r="U4" s="24"/>
      <x:c r="V4" s="24"/>
      <x:c r="W4" s="24"/>
      <x:c r="X4" s="24"/>
      <x:c r="Y4" s="24"/>
      <x:c r="Z4" s="24"/>
      <x:c r="AA4" s="24"/>
      <x:c r="AB4" s="24"/>
      <x:c r="AC4" s="24"/>
      <x:c r="AD4" s="24"/>
      <x:c r="AE4" s="24"/>
      <x:c r="AF4" s="24"/>
      <x:c r="AG4" s="24"/>
      <x:c r="AH4" s="24"/>
      <x:c r="AI4" s="24"/>
      <x:c r="AJ4" s="42" t="n">
        <x:v>394.85718828421415</x:v>
      </x:c>
      <x:c r="AK4" s="27" t="n">
        <x:v>17</x:v>
      </x:c>
      <x:c r="AL4" s="30" t="n">
        <x:v>8.595888271834196</x:v>
      </x:c>
      <x:c r="AM4" s="30" t="n">
        <x:v>0</x:v>
      </x:c>
    </x:row>
    <x:row r="5" ht="15" hidden="0" customHeight="1">
      <x:c r="A5" s="25" t="n">
        <x:v>4</x:v>
      </x:c>
      <x:c r="B5" s="25" t="n">
        <x:v>0</x:v>
      </x:c>
      <x:c r="C5" s="25" t="n">
        <x:v>21</x:v>
      </x:c>
      <x:c r="D5" s="25" t="n">
        <x:v>23</x:v>
      </x:c>
      <x:c r="E5" s="25" t="n">
        <x:v>50</x:v>
      </x:c>
      <x:c r="F5" s="25" t="n">
        <x:v>16</x:v>
      </x:c>
      <x:c r="G5" s="25" t="n">
        <x:v>46</x:v>
      </x:c>
      <x:c r="H5" s="25" t="n">
        <x:v>48</x:v>
      </x:c>
      <x:c r="I5" s="25" t="n">
        <x:v>24</x:v>
      </x:c>
      <x:c r="J5" s="25" t="n">
        <x:v>15</x:v>
      </x:c>
      <x:c r="K5" s="25" t="n">
        <x:v>5</x:v>
      </x:c>
      <x:c r="L5" s="25" t="n">
        <x:v>15</x:v>
      </x:c>
      <x:c r="M5" s="25" t="n">
        <x:v>4</x:v>
      </x:c>
      <x:c r="N5" s="25" t="n">
        <x:v>6</x:v>
      </x:c>
      <x:c r="O5" s="25" t="n">
        <x:v>4</x:v>
      </x:c>
      <x:c r="P5" s="25" t="n">
        <x:v>15</x:v>
      </x:c>
      <x:c r="Q5" s="25" t="n">
        <x:v>38</x:v>
      </x:c>
      <x:c r="R5" s="25" t="n">
        <x:v>37</x:v>
      </x:c>
      <x:c r="S5" s="25" t="n">
        <x:v>39</x:v>
      </x:c>
      <x:c r="T5" s="25" t="n">
        <x:v>40</x:v>
      </x:c>
      <x:c r="U5" s="25" t="n">
        <x:v>39</x:v>
      </x:c>
      <x:c r="V5" s="25" t="n">
        <x:v>36</x:v>
      </x:c>
      <x:c r="W5" s="25" t="n">
        <x:v>35</x:v>
      </x:c>
      <x:c r="X5" s="25" t="n">
        <x:v>49</x:v>
      </x:c>
      <x:c r="Y5" s="25" t="n">
        <x:v>32</x:v>
      </x:c>
      <x:c r="Z5" s="25" t="n">
        <x:v>1</x:v>
      </x:c>
      <x:c r="AA5" s="25" t="n">
        <x:v>22</x:v>
      </x:c>
      <x:c r="AB5" s="25" t="n">
        <x:v>1</x:v>
      </x:c>
      <x:c r="AC5" s="25" t="n">
        <x:v>22</x:v>
      </x:c>
      <x:c r="AD5" s="25" t="n">
        <x:v>31</x:v>
      </x:c>
      <x:c r="AE5" s="25" t="n">
        <x:v>21</x:v>
      </x:c>
      <x:c r="AF5" s="25" t="n">
        <x:v>42</x:v>
      </x:c>
      <x:c r="AG5" s="25" t="n">
        <x:v>7</x:v>
      </x:c>
      <x:c r="AH5" s="25" t="n">
        <x:v>2</x:v>
      </x:c>
      <x:c r="AI5" s="25" t="n">
        <x:v>0</x:v>
      </x:c>
      <x:c r="AJ5" s="43" t="n">
        <x:v>325.986283151051</x:v>
      </x:c>
      <x:c r="AK5" s="28" t="n">
        <x:v>32</x:v>
      </x:c>
      <x:c r="AL5" s="31" t="n">
        <x:v>8.593689996685775</x:v>
      </x:c>
      <x:c r="AM5" s="31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8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  <x:col min="31" max="31" width="8" hidden="0" customWidth="1"/>
    <x:col min="32" max="32" width="8" hidden="0" customWidth="1"/>
    <x:col min="33" max="33" width="8" hidden="0" customWidth="1"/>
    <x:col min="34" max="34" width="8" hidden="0" customWidth="1"/>
    <x:col min="35" max="35" width="8" hidden="0" customWidth="1"/>
    <x:col min="36" max="36" width="8" hidden="0" customWidth="1"/>
    <x:col min="37" max="37" width="8" hidden="0" customWidth="1"/>
    <x:col min="38" max="38" width="8" hidden="0" customWidth="1"/>
    <x:col min="39" max="39" width="8" hidden="0" customWidth="1"/>
    <x:col min="40" max="40" width="8" hidden="0" customWidth="1"/>
    <x:col min="41" max="41" width="8" hidden="0" customWidth="1"/>
    <x:col min="42" max="42" width="8" hidden="0" customWidth="1"/>
    <x:col min="43" max="43" width="8" hidden="0" customWidth="1"/>
    <x:col min="44" max="44" width="8" hidden="0" customWidth="1"/>
    <x:col min="45" max="45" width="8" hidden="0" customWidth="1"/>
    <x:col min="46" max="46" width="8" hidden="0" customWidth="1"/>
    <x:col min="47" max="47" width="8" hidden="0" customWidth="1"/>
    <x:col min="48" max="48" width="8" hidden="0" customWidth="1"/>
    <x:col min="49" max="49" width="8" hidden="0" customWidth="1"/>
    <x:col min="50" max="50" width="8" hidden="0" customWidth="1"/>
    <x:col min="51" max="51" width="8" hidden="0" customWidth="1"/>
    <x:col min="52" max="52" width="8" hidden="0" customWidth="1"/>
    <x:col min="53" max="53" width="8" hidden="0" customWidth="1"/>
    <x:col min="54" max="54" width="8" hidden="0" customWidth="1"/>
    <x:col min="55" max="55" width="8" hidden="0" customWidth="1"/>
    <x:col min="56" max="56" width="8" hidden="0" customWidth="1"/>
    <x:col min="57" max="57" width="8" hidden="0" customWidth="1"/>
    <x:col min="58" max="58" width="8" hidden="0" customWidth="1"/>
    <x:col min="59" max="59" width="8" hidden="0" customWidth="1"/>
    <x:col min="60" max="60" width="8" hidden="0" customWidth="1"/>
    <x:col min="61" max="61" width="8" hidden="0" customWidth="1"/>
    <x:col min="62" max="62" width="8" hidden="0" customWidth="1"/>
    <x:col min="63" max="63" width="8" hidden="0" customWidth="1"/>
    <x:col min="64" max="64" width="8" hidden="0" customWidth="1"/>
    <x:col min="65" max="65" width="8" hidden="0" customWidth="1"/>
    <x:col min="66" max="66" width="8" hidden="0" customWidth="1"/>
    <x:col min="67" max="67" width="8" hidden="0" customWidth="1"/>
    <x:col min="68" max="68" width="8" hidden="0" customWidth="1"/>
    <x:col min="69" max="69" width="8" hidden="0" customWidth="1"/>
    <x:col min="70" max="70" width="8" hidden="0" customWidth="1"/>
    <x:col min="71" max="71" width="8" hidden="0" customWidth="1"/>
    <x:col min="72" max="72" width="8" hidden="0" customWidth="1"/>
    <x:col min="73" max="73" width="8" hidden="0" customWidth="1"/>
    <x:col min="74" max="74" width="18" hidden="0" customWidth="1"/>
    <x:col min="75" max="75" width="18" hidden="0" customWidth="1"/>
    <x:col min="76" max="76" width="18" hidden="0" customWidth="1"/>
    <x:col min="77" max="77" width="18" hidden="0" customWidth="1"/>
  </x:cols>
  <x:sheetData>
    <x:row r="1" ht="39.599998474121094" hidden="0" customHeight="1">
      <x:c r="A1" s="17" t="str">
        <x:v>UAV ID</x:v>
      </x:c>
      <x:c r="B1" s="18" t="str">
        <x:v>1th Inspection Point</x:v>
      </x:c>
      <x:c r="C1" s="18" t="str">
        <x:v>2th Inspection Point</x:v>
      </x:c>
      <x:c r="D1" s="18" t="str">
        <x:v>3th Inspection Point</x:v>
      </x:c>
      <x:c r="E1" s="18" t="str">
        <x:v>4th Inspection Point</x:v>
      </x:c>
      <x:c r="F1" s="18" t="str">
        <x:v>5th Inspection Point</x:v>
      </x:c>
      <x:c r="G1" s="18" t="str">
        <x:v>6th Inspection Point</x:v>
      </x:c>
      <x:c r="H1" s="18" t="str">
        <x:v>7th Inspection Point</x:v>
      </x:c>
      <x:c r="I1" s="18" t="str">
        <x:v>8th Inspection Point</x:v>
      </x:c>
      <x:c r="J1" s="18" t="str">
        <x:v>9th Inspection Point</x:v>
      </x:c>
      <x:c r="K1" s="18" t="str">
        <x:v>10th Inspection Point</x:v>
      </x:c>
      <x:c r="L1" s="18" t="str">
        <x:v>11th Inspection Point</x:v>
      </x:c>
      <x:c r="M1" s="18" t="str">
        <x:v>12th Inspection Point</x:v>
      </x:c>
      <x:c r="N1" s="18" t="str">
        <x:v>13th Inspection Point</x:v>
      </x:c>
      <x:c r="O1" s="18" t="str">
        <x:v>14th Inspection Point</x:v>
      </x:c>
      <x:c r="P1" s="18" t="str">
        <x:v>15th Inspection Point</x:v>
      </x:c>
      <x:c r="Q1" s="18" t="str">
        <x:v>16th Inspection Point</x:v>
      </x:c>
      <x:c r="R1" s="18" t="str">
        <x:v>17th Inspection Point</x:v>
      </x:c>
      <x:c r="S1" s="18" t="str">
        <x:v>18th Inspection Point</x:v>
      </x:c>
      <x:c r="T1" s="18" t="str">
        <x:v>19th Inspection Point</x:v>
      </x:c>
      <x:c r="U1" s="18" t="str">
        <x:v>20th Inspection Point</x:v>
      </x:c>
      <x:c r="V1" s="18" t="str">
        <x:v>21th Inspection Point</x:v>
      </x:c>
      <x:c r="W1" s="18" t="str">
        <x:v>22th Inspection Point</x:v>
      </x:c>
      <x:c r="X1" s="18" t="str">
        <x:v>23th Inspection Point</x:v>
      </x:c>
      <x:c r="Y1" s="18" t="str">
        <x:v>24th Inspection Point</x:v>
      </x:c>
      <x:c r="Z1" s="18" t="str">
        <x:v>25th Inspection Point</x:v>
      </x:c>
      <x:c r="AA1" s="18" t="str">
        <x:v>26th Inspection Point</x:v>
      </x:c>
      <x:c r="AB1" s="18" t="str">
        <x:v>27th Inspection Point</x:v>
      </x:c>
      <x:c r="AC1" s="18" t="str">
        <x:v>28th Inspection Point</x:v>
      </x:c>
      <x:c r="AD1" s="18" t="str">
        <x:v>29th Inspection Point</x:v>
      </x:c>
      <x:c r="AE1" s="18" t="str">
        <x:v>30th Inspection Point</x:v>
      </x:c>
      <x:c r="AF1" s="18" t="str">
        <x:v>31th Inspection Point</x:v>
      </x:c>
      <x:c r="AG1" s="18" t="str">
        <x:v>32th Inspection Point</x:v>
      </x:c>
      <x:c r="AH1" s="18" t="str">
        <x:v>33th Inspection Point</x:v>
      </x:c>
      <x:c r="AI1" s="18" t="str">
        <x:v>34th Inspection Point</x:v>
      </x:c>
      <x:c r="AJ1" s="18" t="str">
        <x:v>35th Inspection Point</x:v>
      </x:c>
      <x:c r="AK1" s="18" t="str">
        <x:v>36th Inspection Point</x:v>
      </x:c>
      <x:c r="AL1" s="18" t="str">
        <x:v>37th Inspection Point</x:v>
      </x:c>
      <x:c r="AM1" s="18" t="str">
        <x:v>38th Inspection Point</x:v>
      </x:c>
      <x:c r="AN1" s="18" t="str">
        <x:v>39th Inspection Point</x:v>
      </x:c>
      <x:c r="AO1" s="18" t="str">
        <x:v>40th Inspection Point</x:v>
      </x:c>
      <x:c r="AP1" s="18" t="str">
        <x:v>41th Inspection Point</x:v>
      </x:c>
      <x:c r="AQ1" s="18" t="str">
        <x:v>42th Inspection Point</x:v>
      </x:c>
      <x:c r="AR1" s="18" t="str">
        <x:v>43th Inspection Point</x:v>
      </x:c>
      <x:c r="AS1" s="18" t="str">
        <x:v>44th Inspection Point</x:v>
      </x:c>
      <x:c r="AT1" s="18" t="str">
        <x:v>45th Inspection Point</x:v>
      </x:c>
      <x:c r="AU1" s="18" t="str">
        <x:v>46th Inspection Point</x:v>
      </x:c>
      <x:c r="AV1" s="18" t="str">
        <x:v>47th Inspection Point</x:v>
      </x:c>
      <x:c r="AW1" s="18" t="str">
        <x:v>48th Inspection Point</x:v>
      </x:c>
      <x:c r="AX1" s="18" t="str">
        <x:v>49th Inspection Point</x:v>
      </x:c>
      <x:c r="AY1" s="18" t="str">
        <x:v>50th Inspection Point</x:v>
      </x:c>
      <x:c r="AZ1" s="18" t="str">
        <x:v>51th Inspection Point</x:v>
      </x:c>
      <x:c r="BA1" s="18" t="str">
        <x:v>52th Inspection Point</x:v>
      </x:c>
      <x:c r="BB1" s="18" t="str">
        <x:v>53th Inspection Point</x:v>
      </x:c>
      <x:c r="BC1" s="18" t="str">
        <x:v>54th Inspection Point</x:v>
      </x:c>
      <x:c r="BD1" s="18" t="str">
        <x:v>55th Inspection Point</x:v>
      </x:c>
      <x:c r="BE1" s="18" t="str">
        <x:v>56th Inspection Point</x:v>
      </x:c>
      <x:c r="BF1" s="18" t="str">
        <x:v>57th Inspection Point</x:v>
      </x:c>
      <x:c r="BG1" s="18" t="str">
        <x:v>58th Inspection Point</x:v>
      </x:c>
      <x:c r="BH1" s="18" t="str">
        <x:v>59th Inspection Point</x:v>
      </x:c>
      <x:c r="BI1" s="18" t="str">
        <x:v>60th Inspection Point</x:v>
      </x:c>
      <x:c r="BJ1" s="18" t="str">
        <x:v>61th Inspection Point</x:v>
      </x:c>
      <x:c r="BK1" s="18" t="str">
        <x:v>62th Inspection Point</x:v>
      </x:c>
      <x:c r="BL1" s="18" t="str">
        <x:v>63th Inspection Point</x:v>
      </x:c>
      <x:c r="BM1" s="18" t="str">
        <x:v>64th Inspection Point</x:v>
      </x:c>
      <x:c r="BN1" s="18" t="str">
        <x:v>65th Inspection Point</x:v>
      </x:c>
      <x:c r="BO1" s="18" t="str">
        <x:v>66th Inspection Point</x:v>
      </x:c>
      <x:c r="BP1" s="18" t="str">
        <x:v>67th Inspection Point</x:v>
      </x:c>
      <x:c r="BQ1" s="18" t="str">
        <x:v>68th Inspection Point</x:v>
      </x:c>
      <x:c r="BR1" s="18" t="str">
        <x:v>69th Inspection Point</x:v>
      </x:c>
      <x:c r="BS1" s="18" t="str">
        <x:v>70th Inspection Point</x:v>
      </x:c>
      <x:c r="BT1" s="18" t="str">
        <x:v>71th Inspection Point</x:v>
      </x:c>
      <x:c r="BU1" s="18" t="str">
        <x:v>72th Inspection Point</x:v>
      </x:c>
      <x:c r="BV1" s="18" t="str">
        <x:v>Flight Distance (km)</x:v>
      </x:c>
      <x:c r="BW1" s="18" t="str">
        <x:v>Inspection Count</x:v>
      </x:c>
      <x:c r="BX1" s="18" t="str">
        <x:v>Working Time (h)</x:v>
      </x:c>
      <x:c r="BY1" s="19" t="str">
        <x:v>Waiting Time (h)</x:v>
      </x:c>
    </x:row>
    <x:row r="2" ht="15" hidden="0" customHeight="1">
      <x:c r="A2" s="23" t="n">
        <x:v>1</x:v>
      </x:c>
      <x:c r="B2" s="23" t="n">
        <x:v>0</x:v>
      </x:c>
      <x:c r="C2" s="23" t="n">
        <x:v>19</x:v>
      </x:c>
      <x:c r="D2" s="23" t="n">
        <x:v>28</x:v>
      </x:c>
      <x:c r="E2" s="23" t="n">
        <x:v>37</x:v>
      </x:c>
      <x:c r="F2" s="23" t="n">
        <x:v>29</x:v>
      </x:c>
      <x:c r="G2" s="23" t="n">
        <x:v>38</x:v>
      </x:c>
      <x:c r="H2" s="23" t="n">
        <x:v>39</x:v>
      </x:c>
      <x:c r="I2" s="23" t="n">
        <x:v>48</x:v>
      </x:c>
      <x:c r="J2" s="23" t="n">
        <x:v>38</x:v>
      </x:c>
      <x:c r="K2" s="23" t="n">
        <x:v>47</x:v>
      </x:c>
      <x:c r="L2" s="23" t="n">
        <x:v>46</x:v>
      </x:c>
      <x:c r="M2" s="23" t="n">
        <x:v>55</x:v>
      </x:c>
      <x:c r="N2" s="23" t="n">
        <x:v>64</x:v>
      </x:c>
      <x:c r="O2" s="23" t="n">
        <x:v>56</x:v>
      </x:c>
      <x:c r="P2" s="23" t="n">
        <x:v>57</x:v>
      </x:c>
      <x:c r="Q2" s="23" t="n">
        <x:v>64</x:v>
      </x:c>
      <x:c r="R2" s="23" t="n">
        <x:v>65</x:v>
      </x:c>
      <x:c r="S2" s="23" t="n">
        <x:v>66</x:v>
      </x:c>
      <x:c r="T2" s="23" t="n">
        <x:v>67</x:v>
      </x:c>
      <x:c r="U2" s="23" t="n">
        <x:v>68</x:v>
      </x:c>
      <x:c r="V2" s="23" t="n">
        <x:v>69</x:v>
      </x:c>
      <x:c r="W2" s="23" t="n">
        <x:v>78</x:v>
      </x:c>
      <x:c r="X2" s="23" t="n">
        <x:v>77</x:v>
      </x:c>
      <x:c r="Y2" s="23" t="n">
        <x:v>76</x:v>
      </x:c>
      <x:c r="Z2" s="23" t="n">
        <x:v>75</x:v>
      </x:c>
      <x:c r="AA2" s="23" t="n">
        <x:v>76</x:v>
      </x:c>
      <x:c r="AB2" s="23" t="n">
        <x:v>84</x:v>
      </x:c>
      <x:c r="AC2" s="23" t="n">
        <x:v>85</x:v>
      </x:c>
      <x:c r="AD2" s="23" t="n">
        <x:v>86</x:v>
      </x:c>
      <x:c r="AE2" s="23" t="n">
        <x:v>95</x:v>
      </x:c>
      <x:c r="AF2" s="23" t="n">
        <x:v>86</x:v>
      </x:c>
      <x:c r="AG2" s="23" t="n">
        <x:v>87</x:v>
      </x:c>
      <x:c r="AH2" s="23" t="n">
        <x:v>88</x:v>
      </x:c>
      <x:c r="AI2" s="23" t="n">
        <x:v>87</x:v>
      </x:c>
      <x:c r="AJ2" s="23" t="n">
        <x:v>88</x:v>
      </x:c>
      <x:c r="AK2" s="23" t="n">
        <x:v>79</x:v>
      </x:c>
      <x:c r="AL2" s="23" t="n">
        <x:v>89</x:v>
      </x:c>
      <x:c r="AM2" s="23" t="n">
        <x:v>90</x:v>
      </x:c>
      <x:c r="AN2" s="23" t="n">
        <x:v>99</x:v>
      </x:c>
      <x:c r="AO2" s="23" t="n">
        <x:v>98</x:v>
      </x:c>
      <x:c r="AP2" s="23" t="n">
        <x:v>97</x:v>
      </x:c>
      <x:c r="AQ2" s="23" t="n">
        <x:v>96</x:v>
      </x:c>
      <x:c r="AR2" s="23" t="n">
        <x:v>94</x:v>
      </x:c>
      <x:c r="AS2" s="23" t="n">
        <x:v>93</x:v>
      </x:c>
      <x:c r="AT2" s="23" t="n">
        <x:v>94</x:v>
      </x:c>
      <x:c r="AU2" s="23" t="n">
        <x:v>92</x:v>
      </x:c>
      <x:c r="AV2" s="23" t="n">
        <x:v>91</x:v>
      </x:c>
      <x:c r="AW2" s="23" t="n">
        <x:v>92</x:v>
      </x:c>
      <x:c r="AX2" s="23" t="n">
        <x:v>91</x:v>
      </x:c>
      <x:c r="AY2" s="23" t="n">
        <x:v>92</x:v>
      </x:c>
      <x:c r="AZ2" s="23" t="n">
        <x:v>83</x:v>
      </x:c>
      <x:c r="BA2" s="23" t="n">
        <x:v>82</x:v>
      </x:c>
      <x:c r="BB2" s="23" t="n">
        <x:v>73</x:v>
      </x:c>
      <x:c r="BC2" s="23" t="n">
        <x:v>74</x:v>
      </x:c>
      <x:c r="BD2" s="23" t="n">
        <x:v>64</x:v>
      </x:c>
      <x:c r="BE2" s="23" t="n">
        <x:v>66</x:v>
      </x:c>
      <x:c r="BF2" s="23" t="n">
        <x:v>75</x:v>
      </x:c>
      <x:c r="BG2" s="23" t="n">
        <x:v>66</x:v>
      </x:c>
      <x:c r="BH2" s="23" t="n">
        <x:v>59</x:v>
      </x:c>
      <x:c r="BI2" s="23" t="n">
        <x:v>58</x:v>
      </x:c>
      <x:c r="BJ2" s="23" t="n">
        <x:v>49</x:v>
      </x:c>
      <x:c r="BK2" s="23" t="n">
        <x:v>51</x:v>
      </x:c>
      <x:c r="BL2" s="23" t="n">
        <x:v>50</x:v>
      </x:c>
      <x:c r="BM2" s="23" t="n">
        <x:v>40</x:v>
      </x:c>
      <x:c r="BN2" s="23" t="n">
        <x:v>48</x:v>
      </x:c>
      <x:c r="BO2" s="23" t="n">
        <x:v>38</x:v>
      </x:c>
      <x:c r="BP2" s="23" t="n">
        <x:v>29</x:v>
      </x:c>
      <x:c r="BQ2" s="23" t="n">
        <x:v>30</x:v>
      </x:c>
      <x:c r="BR2" s="23" t="n">
        <x:v>20</x:v>
      </x:c>
      <x:c r="BS2" s="23" t="n">
        <x:v>10</x:v>
      </x:c>
      <x:c r="BT2" s="23" t="n">
        <x:v>0</x:v>
      </x:c>
      <x:c r="BU2" s="23"/>
      <x:c r="BV2" s="41" t="n">
        <x:v>100.30508952554078</x:v>
      </x:c>
      <x:c r="BW2" s="26" t="n">
        <x:v>69</x:v>
      </x:c>
      <x:c r="BX2" s="29" t="n">
        <x:v>7.573728900464378</x:v>
      </x:c>
      <x:c r="BY2" s="29" t="n">
        <x:v>0</x:v>
      </x:c>
    </x:row>
    <x:row r="3" ht="15" hidden="0" customHeight="1">
      <x:c r="A3" s="25" t="n">
        <x:v>2</x:v>
      </x:c>
      <x:c r="B3" s="25" t="n">
        <x:v>0</x:v>
      </x:c>
      <x:c r="C3" s="25" t="n">
        <x:v>1</x:v>
      </x:c>
      <x:c r="D3" s="25" t="n">
        <x:v>2</x:v>
      </x:c>
      <x:c r="E3" s="25" t="n">
        <x:v>1</x:v>
      </x:c>
      <x:c r="F3" s="25" t="n">
        <x:v>3</x:v>
      </x:c>
      <x:c r="G3" s="25" t="n">
        <x:v>12</x:v>
      </x:c>
      <x:c r="H3" s="25" t="n">
        <x:v>3</x:v>
      </x:c>
      <x:c r="I3" s="25" t="n">
        <x:v>4</x:v>
      </x:c>
      <x:c r="J3" s="25" t="n">
        <x:v>5</x:v>
      </x:c>
      <x:c r="K3" s="25" t="n">
        <x:v>6</x:v>
      </x:c>
      <x:c r="L3" s="25" t="n">
        <x:v>7</x:v>
      </x:c>
      <x:c r="M3" s="25" t="n">
        <x:v>8</x:v>
      </x:c>
      <x:c r="N3" s="25" t="n">
        <x:v>9</x:v>
      </x:c>
      <x:c r="O3" s="25" t="n">
        <x:v>18</x:v>
      </x:c>
      <x:c r="P3" s="25" t="n">
        <x:v>17</x:v>
      </x:c>
      <x:c r="Q3" s="25" t="n">
        <x:v>25</x:v>
      </x:c>
      <x:c r="R3" s="25" t="n">
        <x:v>26</x:v>
      </x:c>
      <x:c r="S3" s="25" t="n">
        <x:v>25</x:v>
      </x:c>
      <x:c r="T3" s="25" t="n">
        <x:v>24</x:v>
      </x:c>
      <x:c r="U3" s="25" t="n">
        <x:v>23</x:v>
      </x:c>
      <x:c r="V3" s="25" t="n">
        <x:v>25</x:v>
      </x:c>
      <x:c r="W3" s="25" t="n">
        <x:v>26</x:v>
      </x:c>
      <x:c r="X3" s="25" t="n">
        <x:v>35</x:v>
      </x:c>
      <x:c r="Y3" s="25" t="n">
        <x:v>36</x:v>
      </x:c>
      <x:c r="Z3" s="25" t="n">
        <x:v>34</x:v>
      </x:c>
      <x:c r="AA3" s="25" t="n">
        <x:v>42</x:v>
      </x:c>
      <x:c r="AB3" s="25" t="n">
        <x:v>33</x:v>
      </x:c>
      <x:c r="AC3" s="25" t="n">
        <x:v>31</x:v>
      </x:c>
      <x:c r="AD3" s="25" t="n">
        <x:v>32</x:v>
      </x:c>
      <x:c r="AE3" s="25" t="n">
        <x:v>41</x:v>
      </x:c>
      <x:c r="AF3" s="25" t="n">
        <x:v>33</x:v>
      </x:c>
      <x:c r="AG3" s="25" t="n">
        <x:v>42</x:v>
      </x:c>
      <x:c r="AH3" s="25" t="n">
        <x:v>43</x:v>
      </x:c>
      <x:c r="AI3" s="25" t="n">
        <x:v>42</x:v>
      </x:c>
      <x:c r="AJ3" s="25" t="n">
        <x:v>50</x:v>
      </x:c>
      <x:c r="AK3" s="25" t="n">
        <x:v>60</x:v>
      </x:c>
      <x:c r="AL3" s="25" t="n">
        <x:v>61</x:v>
      </x:c>
      <x:c r="AM3" s="25" t="n">
        <x:v>70</x:v>
      </x:c>
      <x:c r="AN3" s="25" t="n">
        <x:v>71</x:v>
      </x:c>
      <x:c r="AO3" s="25" t="n">
        <x:v>72</x:v>
      </x:c>
      <x:c r="AP3" s="25" t="n">
        <x:v>71</x:v>
      </x:c>
      <x:c r="AQ3" s="25" t="n">
        <x:v>80</x:v>
      </x:c>
      <x:c r="AR3" s="25" t="n">
        <x:v>79</x:v>
      </x:c>
      <x:c r="AS3" s="25" t="n">
        <x:v>90</x:v>
      </x:c>
      <x:c r="AT3" s="25" t="n">
        <x:v>81</x:v>
      </x:c>
      <x:c r="AU3" s="25" t="n">
        <x:v>71</x:v>
      </x:c>
      <x:c r="AV3" s="25" t="n">
        <x:v>62</x:v>
      </x:c>
      <x:c r="AW3" s="25" t="n">
        <x:v>63</x:v>
      </x:c>
      <x:c r="AX3" s="25" t="n">
        <x:v>53</x:v>
      </x:c>
      <x:c r="AY3" s="25" t="n">
        <x:v>52</x:v>
      </x:c>
      <x:c r="AZ3" s="25" t="n">
        <x:v>53</x:v>
      </x:c>
      <x:c r="BA3" s="25" t="n">
        <x:v>54</x:v>
      </x:c>
      <x:c r="BB3" s="25" t="n">
        <x:v>45</x:v>
      </x:c>
      <x:c r="BC3" s="25" t="n">
        <x:v>44</x:v>
      </x:c>
      <x:c r="BD3" s="25" t="n">
        <x:v>34</x:v>
      </x:c>
      <x:c r="BE3" s="25" t="n">
        <x:v>35</x:v>
      </x:c>
      <x:c r="BF3" s="25" t="n">
        <x:v>27</x:v>
      </x:c>
      <x:c r="BG3" s="25" t="n">
        <x:v>17</x:v>
      </x:c>
      <x:c r="BH3" s="25" t="n">
        <x:v>16</x:v>
      </x:c>
      <x:c r="BI3" s="25" t="n">
        <x:v>15</x:v>
      </x:c>
      <x:c r="BJ3" s="25" t="n">
        <x:v>14</x:v>
      </x:c>
      <x:c r="BK3" s="25" t="n">
        <x:v>15</x:v>
      </x:c>
      <x:c r="BL3" s="25" t="n">
        <x:v>23</x:v>
      </x:c>
      <x:c r="BM3" s="25" t="n">
        <x:v>22</x:v>
      </x:c>
      <x:c r="BN3" s="25" t="n">
        <x:v>21</x:v>
      </x:c>
      <x:c r="BO3" s="25" t="n">
        <x:v>13</x:v>
      </x:c>
      <x:c r="BP3" s="25" t="n">
        <x:v>12</x:v>
      </x:c>
      <x:c r="BQ3" s="25" t="n">
        <x:v>11</x:v>
      </x:c>
      <x:c r="BR3" s="25" t="n">
        <x:v>12</x:v>
      </x:c>
      <x:c r="BS3" s="25" t="n">
        <x:v>3</x:v>
      </x:c>
      <x:c r="BT3" s="25" t="n">
        <x:v>1</x:v>
      </x:c>
      <x:c r="BU3" s="25" t="n">
        <x:v>0</x:v>
      </x:c>
      <x:c r="BV3" s="43" t="n">
        <x:v>96.29032951821168</x:v>
      </x:c>
      <x:c r="BW3" s="28" t="n">
        <x:v>70</x:v>
      </x:c>
      <x:c r="BX3" s="31" t="n">
        <x:v>7.584066597300819</x:v>
      </x:c>
      <x:c r="BY3" s="31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8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  <x:col min="31" max="31" width="8" hidden="0" customWidth="1"/>
    <x:col min="32" max="32" width="8" hidden="0" customWidth="1"/>
    <x:col min="33" max="33" width="8" hidden="0" customWidth="1"/>
    <x:col min="34" max="34" width="8" hidden="0" customWidth="1"/>
    <x:col min="35" max="35" width="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</x:cols>
  <x:sheetData>
    <x:row r="1" ht="39.599998474121094" hidden="0" customHeight="1">
      <x:c r="A1" s="17" t="str">
        <x:v>UAV ID</x:v>
      </x:c>
      <x:c r="B1" s="18" t="str">
        <x:v>1th Inspection Point</x:v>
      </x:c>
      <x:c r="C1" s="18" t="str">
        <x:v>2th Inspection Point</x:v>
      </x:c>
      <x:c r="D1" s="18" t="str">
        <x:v>3th Inspection Point</x:v>
      </x:c>
      <x:c r="E1" s="18" t="str">
        <x:v>4th Inspection Point</x:v>
      </x:c>
      <x:c r="F1" s="18" t="str">
        <x:v>5th Inspection Point</x:v>
      </x:c>
      <x:c r="G1" s="18" t="str">
        <x:v>6th Inspection Point</x:v>
      </x:c>
      <x:c r="H1" s="18" t="str">
        <x:v>7th Inspection Point</x:v>
      </x:c>
      <x:c r="I1" s="18" t="str">
        <x:v>8th Inspection Point</x:v>
      </x:c>
      <x:c r="J1" s="18" t="str">
        <x:v>9th Inspection Point</x:v>
      </x:c>
      <x:c r="K1" s="18" t="str">
        <x:v>10th Inspection Point</x:v>
      </x:c>
      <x:c r="L1" s="18" t="str">
        <x:v>11th Inspection Point</x:v>
      </x:c>
      <x:c r="M1" s="18" t="str">
        <x:v>12th Inspection Point</x:v>
      </x:c>
      <x:c r="N1" s="18" t="str">
        <x:v>13th Inspection Point</x:v>
      </x:c>
      <x:c r="O1" s="18" t="str">
        <x:v>14th Inspection Point</x:v>
      </x:c>
      <x:c r="P1" s="18" t="str">
        <x:v>15th Inspection Point</x:v>
      </x:c>
      <x:c r="Q1" s="18" t="str">
        <x:v>16th Inspection Point</x:v>
      </x:c>
      <x:c r="R1" s="18" t="str">
        <x:v>17th Inspection Point</x:v>
      </x:c>
      <x:c r="S1" s="18" t="str">
        <x:v>18th Inspection Point</x:v>
      </x:c>
      <x:c r="T1" s="18" t="str">
        <x:v>19th Inspection Point</x:v>
      </x:c>
      <x:c r="U1" s="18" t="str">
        <x:v>20th Inspection Point</x:v>
      </x:c>
      <x:c r="V1" s="18" t="str">
        <x:v>21th Inspection Point</x:v>
      </x:c>
      <x:c r="W1" s="18" t="str">
        <x:v>22th Inspection Point</x:v>
      </x:c>
      <x:c r="X1" s="18" t="str">
        <x:v>23th Inspection Point</x:v>
      </x:c>
      <x:c r="Y1" s="18" t="str">
        <x:v>24th Inspection Point</x:v>
      </x:c>
      <x:c r="Z1" s="18" t="str">
        <x:v>25th Inspection Point</x:v>
      </x:c>
      <x:c r="AA1" s="18" t="str">
        <x:v>26th Inspection Point</x:v>
      </x:c>
      <x:c r="AB1" s="18" t="str">
        <x:v>27th Inspection Point</x:v>
      </x:c>
      <x:c r="AC1" s="18" t="str">
        <x:v>28th Inspection Point</x:v>
      </x:c>
      <x:c r="AD1" s="18" t="str">
        <x:v>29th Inspection Point</x:v>
      </x:c>
      <x:c r="AE1" s="18" t="str">
        <x:v>30th Inspection Point</x:v>
      </x:c>
      <x:c r="AF1" s="18" t="str">
        <x:v>31th Inspection Point</x:v>
      </x:c>
      <x:c r="AG1" s="18" t="str">
        <x:v>32th Inspection Point</x:v>
      </x:c>
      <x:c r="AH1" s="18" t="str">
        <x:v>33th Inspection Point</x:v>
      </x:c>
      <x:c r="AI1" s="18" t="str">
        <x:v>34th Inspection Point</x:v>
      </x:c>
      <x:c r="AJ1" s="18" t="str">
        <x:v>Flight Distance (km)</x:v>
      </x:c>
      <x:c r="AK1" s="18" t="str">
        <x:v>Inspection Count</x:v>
      </x:c>
      <x:c r="AL1" s="18" t="str">
        <x:v>Working Time (h)</x:v>
      </x:c>
      <x:c r="AM1" s="19" t="str">
        <x:v>Waiting Time (h)</x:v>
      </x:c>
    </x:row>
    <x:row r="2" ht="15" hidden="0" customHeight="1">
      <x:c r="A2" s="23" t="n">
        <x:v>1</x:v>
      </x:c>
      <x:c r="B2" s="23" t="n">
        <x:v>0</x:v>
      </x:c>
      <x:c r="C2" s="23" t="n">
        <x:v>55</x:v>
      </x:c>
      <x:c r="D2" s="23" t="n">
        <x:v>39</x:v>
      </x:c>
      <x:c r="E2" s="23" t="n">
        <x:v>100</x:v>
      </x:c>
      <x:c r="F2" s="23" t="n">
        <x:v>52</x:v>
      </x:c>
      <x:c r="G2" s="23" t="n">
        <x:v>45</x:v>
      </x:c>
      <x:c r="H2" s="23" t="n">
        <x:v>16</x:v>
      </x:c>
      <x:c r="I2" s="23" t="n">
        <x:v>98</x:v>
      </x:c>
      <x:c r="J2" s="23" t="n">
        <x:v>59</x:v>
      </x:c>
      <x:c r="K2" s="23" t="n">
        <x:v>93</x:v>
      </x:c>
      <x:c r="L2" s="23" t="n">
        <x:v>28</x:v>
      </x:c>
      <x:c r="M2" s="23" t="n">
        <x:v>56</x:v>
      </x:c>
      <x:c r="N2" s="23" t="n">
        <x:v>46</x:v>
      </x:c>
      <x:c r="O2" s="23" t="n">
        <x:v>54</x:v>
      </x:c>
      <x:c r="P2" s="23" t="n">
        <x:v>70</x:v>
      </x:c>
      <x:c r="Q2" s="23" t="n">
        <x:v>72</x:v>
      </x:c>
      <x:c r="R2" s="23" t="n">
        <x:v>17</x:v>
      </x:c>
      <x:c r="S2" s="23" t="n">
        <x:v>92</x:v>
      </x:c>
      <x:c r="T2" s="23" t="n">
        <x:v>27</x:v>
      </x:c>
      <x:c r="U2" s="23" t="n">
        <x:v>10</x:v>
      </x:c>
      <x:c r="V2" s="23" t="n">
        <x:v>33</x:v>
      </x:c>
      <x:c r="W2" s="23" t="n">
        <x:v>10</x:v>
      </x:c>
      <x:c r="X2" s="23" t="n">
        <x:v>3</x:v>
      </x:c>
      <x:c r="Y2" s="23" t="n">
        <x:v>64</x:v>
      </x:c>
      <x:c r="Z2" s="23" t="n">
        <x:v>36</x:v>
      </x:c>
      <x:c r="AA2" s="23" t="n">
        <x:v>5</x:v>
      </x:c>
      <x:c r="AB2" s="23" t="n">
        <x:v>42</x:v>
      </x:c>
      <x:c r="AC2" s="23" t="n">
        <x:v>0</x:v>
      </x:c>
      <x:c r="AD2" s="23"/>
      <x:c r="AE2" s="23"/>
      <x:c r="AF2" s="23"/>
      <x:c r="AG2" s="23"/>
      <x:c r="AH2" s="23"/>
      <x:c r="AI2" s="23"/>
      <x:c r="AJ2" s="41" t="n">
        <x:v>336.36204901655293</x:v>
      </x:c>
      <x:c r="AK2" s="26" t="n">
        <x:v>26</x:v>
      </x:c>
      <x:c r="AL2" s="29" t="n">
        <x:v>8.282340285149447</x:v>
      </x:c>
      <x:c r="AM2" s="29" t="n">
        <x:v>0</x:v>
      </x:c>
    </x:row>
    <x:row r="3" ht="15" hidden="0" customHeight="1">
      <x:c r="A3" s="24" t="n">
        <x:v>2</x:v>
      </x:c>
      <x:c r="B3" s="24" t="n">
        <x:v>0</x:v>
      </x:c>
      <x:c r="C3" s="24" t="n">
        <x:v>43</x:v>
      </x:c>
      <x:c r="D3" s="24" t="n">
        <x:v>42</x:v>
      </x:c>
      <x:c r="E3" s="24" t="n">
        <x:v>61</x:v>
      </x:c>
      <x:c r="F3" s="24" t="n">
        <x:v>11</x:v>
      </x:c>
      <x:c r="G3" s="24" t="n">
        <x:v>36</x:v>
      </x:c>
      <x:c r="H3" s="24" t="n">
        <x:v>3</x:v>
      </x:c>
      <x:c r="I3" s="24" t="n">
        <x:v>78</x:v>
      </x:c>
      <x:c r="J3" s="24" t="n">
        <x:v>20</x:v>
      </x:c>
      <x:c r="K3" s="24" t="n">
        <x:v>74</x:v>
      </x:c>
      <x:c r="L3" s="24" t="n">
        <x:v>9</x:v>
      </x:c>
      <x:c r="M3" s="24" t="n">
        <x:v>26</x:v>
      </x:c>
      <x:c r="N3" s="24" t="n">
        <x:v>9</x:v>
      </x:c>
      <x:c r="O3" s="24" t="n">
        <x:v>32</x:v>
      </x:c>
      <x:c r="P3" s="24" t="n">
        <x:v>49</x:v>
      </x:c>
      <x:c r="Q3" s="24" t="n">
        <x:v>21</x:v>
      </x:c>
      <x:c r="R3" s="24" t="n">
        <x:v>49</x:v>
      </x:c>
      <x:c r="S3" s="24" t="n">
        <x:v>14</x:v>
      </x:c>
      <x:c r="T3" s="24" t="n">
        <x:v>87</x:v>
      </x:c>
      <x:c r="U3" s="24" t="n">
        <x:v>62</x:v>
      </x:c>
      <x:c r="V3" s="24" t="n">
        <x:v>18</x:v>
      </x:c>
      <x:c r="W3" s="24" t="n">
        <x:v>71</x:v>
      </x:c>
      <x:c r="X3" s="24" t="n">
        <x:v>68</x:v>
      </x:c>
      <x:c r="Y3" s="24" t="n">
        <x:v>51</x:v>
      </x:c>
      <x:c r="Z3" s="24" t="n">
        <x:v>90</x:v>
      </x:c>
      <x:c r="AA3" s="24" t="n">
        <x:v>65</x:v>
      </x:c>
      <x:c r="AB3" s="24" t="n">
        <x:v>81</x:v>
      </x:c>
      <x:c r="AC3" s="24" t="n">
        <x:v>22</x:v>
      </x:c>
      <x:c r="AD3" s="24" t="n">
        <x:v>41</x:v>
      </x:c>
      <x:c r="AE3" s="24" t="n">
        <x:v>25</x:v>
      </x:c>
      <x:c r="AF3" s="24" t="n">
        <x:v>0</x:v>
      </x:c>
      <x:c r="AG3" s="24"/>
      <x:c r="AH3" s="24"/>
      <x:c r="AI3" s="24"/>
      <x:c r="AJ3" s="42" t="n">
        <x:v>322.6135276152379</x:v>
      </x:c>
      <x:c r="AK3" s="27" t="n">
        <x:v>29</x:v>
      </x:c>
      <x:c r="AL3" s="30" t="n">
        <x:v>8.282367168761901</x:v>
      </x:c>
      <x:c r="AM3" s="30" t="n">
        <x:v>0</x:v>
      </x:c>
    </x:row>
    <x:row r="4" ht="15" hidden="0" customHeight="1">
      <x:c r="A4" s="24" t="n">
        <x:v>3</x:v>
      </x:c>
      <x:c r="B4" s="24" t="n">
        <x:v>0</x:v>
      </x:c>
      <x:c r="C4" s="24" t="n">
        <x:v>43</x:v>
      </x:c>
      <x:c r="D4" s="24" t="n">
        <x:v>41</x:v>
      </x:c>
      <x:c r="E4" s="24" t="n">
        <x:v>81</x:v>
      </x:c>
      <x:c r="F4" s="24" t="n">
        <x:v>91</x:v>
      </x:c>
      <x:c r="G4" s="24" t="n">
        <x:v>64</x:v>
      </x:c>
      <x:c r="H4" s="24" t="n">
        <x:v>13</x:v>
      </x:c>
      <x:c r="I4" s="24" t="n">
        <x:v>49</x:v>
      </x:c>
      <x:c r="J4" s="24" t="n">
        <x:v>75</x:v>
      </x:c>
      <x:c r="K4" s="24" t="n">
        <x:v>82</x:v>
      </x:c>
      <x:c r="L4" s="24" t="n">
        <x:v>4</x:v>
      </x:c>
      <x:c r="M4" s="24" t="n">
        <x:v>32</x:v>
      </x:c>
      <x:c r="N4" s="24" t="n">
        <x:v>12</x:v>
      </x:c>
      <x:c r="O4" s="24" t="n">
        <x:v>85</x:v>
      </x:c>
      <x:c r="P4" s="24" t="n">
        <x:v>82</x:v>
      </x:c>
      <x:c r="Q4" s="24" t="n">
        <x:v>75</x:v>
      </x:c>
      <x:c r="R4" s="24" t="n">
        <x:v>86</x:v>
      </x:c>
      <x:c r="S4" s="24" t="n">
        <x:v>97</x:v>
      </x:c>
      <x:c r="T4" s="24" t="n">
        <x:v>67</x:v>
      </x:c>
      <x:c r="U4" s="24" t="n">
        <x:v>86</x:v>
      </x:c>
      <x:c r="V4" s="24" t="n">
        <x:v>63</x:v>
      </x:c>
      <x:c r="W4" s="24" t="n">
        <x:v>86</x:v>
      </x:c>
      <x:c r="X4" s="24" t="n">
        <x:v>15</x:v>
      </x:c>
      <x:c r="Y4" s="24" t="n">
        <x:v>1</x:v>
      </x:c>
      <x:c r="Z4" s="24" t="n">
        <x:v>60</x:v>
      </x:c>
      <x:c r="AA4" s="24" t="n">
        <x:v>1</x:v>
      </x:c>
      <x:c r="AB4" s="24" t="n">
        <x:v>8</x:v>
      </x:c>
      <x:c r="AC4" s="24" t="n">
        <x:v>69</x:v>
      </x:c>
      <x:c r="AD4" s="24" t="n">
        <x:v>68</x:v>
      </x:c>
      <x:c r="AE4" s="24" t="n">
        <x:v>83</x:v>
      </x:c>
      <x:c r="AF4" s="24" t="n">
        <x:v>68</x:v>
      </x:c>
      <x:c r="AG4" s="24" t="n">
        <x:v>48</x:v>
      </x:c>
      <x:c r="AH4" s="24" t="n">
        <x:v>30</x:v>
      </x:c>
      <x:c r="AI4" s="24" t="n">
        <x:v>0</x:v>
      </x:c>
      <x:c r="AJ4" s="42" t="n">
        <x:v>308.30669825206627</x:v>
      </x:c>
      <x:c r="AK4" s="27" t="n">
        <x:v>32</x:v>
      </x:c>
      <x:c r="AL4" s="30" t="n">
        <x:v>8.272242998522417</x:v>
      </x:c>
      <x:c r="AM4" s="30" t="n">
        <x:v>0</x:v>
      </x:c>
    </x:row>
    <x:row r="5" ht="15" hidden="0" customHeight="1">
      <x:c r="A5" s="24" t="n">
        <x:v>4</x:v>
      </x:c>
      <x:c r="B5" s="24" t="n">
        <x:v>0</x:v>
      </x:c>
      <x:c r="C5" s="24" t="n">
        <x:v>96</x:v>
      </x:c>
      <x:c r="D5" s="24" t="n">
        <x:v>29</x:v>
      </x:c>
      <x:c r="E5" s="24" t="n">
        <x:v>35</x:v>
      </x:c>
      <x:c r="F5" s="24" t="n">
        <x:v>29</x:v>
      </x:c>
      <x:c r="G5" s="24" t="n">
        <x:v>35</x:v>
      </x:c>
      <x:c r="H5" s="24" t="n">
        <x:v>44</x:v>
      </x:c>
      <x:c r="I5" s="24" t="n">
        <x:v>23</x:v>
      </x:c>
      <x:c r="J5" s="24" t="n">
        <x:v>2</x:v>
      </x:c>
      <x:c r="K5" s="24" t="n">
        <x:v>89</x:v>
      </x:c>
      <x:c r="L5" s="24" t="n">
        <x:v>23</x:v>
      </x:c>
      <x:c r="M5" s="24" t="n">
        <x:v>31</x:v>
      </x:c>
      <x:c r="N5" s="24" t="n">
        <x:v>84</x:v>
      </x:c>
      <x:c r="O5" s="24" t="n">
        <x:v>88</x:v>
      </x:c>
      <x:c r="P5" s="24" t="n">
        <x:v>58</x:v>
      </x:c>
      <x:c r="Q5" s="24" t="n">
        <x:v>76</x:v>
      </x:c>
      <x:c r="R5" s="24" t="n">
        <x:v>66</x:v>
      </x:c>
      <x:c r="S5" s="24" t="n">
        <x:v>98</x:v>
      </x:c>
      <x:c r="T5" s="24" t="n">
        <x:v>94</x:v>
      </x:c>
      <x:c r="U5" s="24" t="n">
        <x:v>6</x:v>
      </x:c>
      <x:c r="V5" s="24" t="n">
        <x:v>53</x:v>
      </x:c>
      <x:c r="W5" s="24" t="n">
        <x:v>99</x:v>
      </x:c>
      <x:c r="X5" s="24" t="n">
        <x:v>47</x:v>
      </x:c>
      <x:c r="Y5" s="24" t="n">
        <x:v>57</x:v>
      </x:c>
      <x:c r="Z5" s="24" t="n">
        <x:v>52</x:v>
      </x:c>
      <x:c r="AA5" s="24" t="n">
        <x:v>11</x:v>
      </x:c>
      <x:c r="AB5" s="24" t="n">
        <x:v>34</x:v>
      </x:c>
      <x:c r="AC5" s="24" t="n">
        <x:v>7</x:v>
      </x:c>
      <x:c r="AD5" s="24" t="n">
        <x:v>0</x:v>
      </x:c>
      <x:c r="AE5" s="24"/>
      <x:c r="AF5" s="24"/>
      <x:c r="AG5" s="24"/>
      <x:c r="AH5" s="24"/>
      <x:c r="AI5" s="24"/>
      <x:c r="AJ5" s="42" t="n">
        <x:v>330.4730372826508</x:v>
      </x:c>
      <x:c r="AK5" s="27" t="n">
        <x:v>27</x:v>
      </x:c>
      <x:c r="AL5" s="30" t="n">
        <x:v>8.25860067786638</x:v>
      </x:c>
      <x:c r="AM5" s="30" t="n">
        <x:v>0</x:v>
      </x:c>
    </x:row>
    <x:row r="6" ht="15" hidden="0" customHeight="1">
      <x:c r="A6" s="25" t="n">
        <x:v>5</x:v>
      </x:c>
      <x:c r="B6" s="25" t="n">
        <x:v>0</x:v>
      </x:c>
      <x:c r="C6" s="25" t="n">
        <x:v>40</x:v>
      </x:c>
      <x:c r="D6" s="25" t="n">
        <x:v>52</x:v>
      </x:c>
      <x:c r="E6" s="25" t="n">
        <x:v>98</x:v>
      </x:c>
      <x:c r="F6" s="25" t="n">
        <x:v>95</x:v>
      </x:c>
      <x:c r="G6" s="25" t="n">
        <x:v>77</x:v>
      </x:c>
      <x:c r="H6" s="25" t="n">
        <x:v>37</x:v>
      </x:c>
      <x:c r="I6" s="25" t="n">
        <x:v>19</x:v>
      </x:c>
      <x:c r="J6" s="25" t="n">
        <x:v>54</x:v>
      </x:c>
      <x:c r="K6" s="25" t="n">
        <x:v>70</x:v>
      </x:c>
      <x:c r="L6" s="25" t="n">
        <x:v>17</x:v>
      </x:c>
      <x:c r="M6" s="25" t="n">
        <x:v>38</x:v>
      </x:c>
      <x:c r="N6" s="25" t="n">
        <x:v>54</x:v>
      </x:c>
      <x:c r="O6" s="25" t="n">
        <x:v>73</x:v>
      </x:c>
      <x:c r="P6" s="25" t="n">
        <x:v>46</x:v>
      </x:c>
      <x:c r="Q6" s="25" t="n">
        <x:v>50</x:v>
      </x:c>
      <x:c r="R6" s="25" t="n">
        <x:v>46</x:v>
      </x:c>
      <x:c r="S6" s="25" t="n">
        <x:v>79</x:v>
      </x:c>
      <x:c r="T6" s="25" t="n">
        <x:v>53</x:v>
      </x:c>
      <x:c r="U6" s="25" t="n">
        <x:v>47</x:v>
      </x:c>
      <x:c r="V6" s="25" t="n">
        <x:v>57</x:v>
      </x:c>
      <x:c r="W6" s="25" t="n">
        <x:v>36</x:v>
      </x:c>
      <x:c r="X6" s="25" t="n">
        <x:v>81</x:v>
      </x:c>
      <x:c r="Y6" s="25" t="n">
        <x:v>80</x:v>
      </x:c>
      <x:c r="Z6" s="25" t="n">
        <x:v>30</x:v>
      </x:c>
      <x:c r="AA6" s="25" t="n">
        <x:v>24</x:v>
      </x:c>
      <x:c r="AB6" s="25" t="n">
        <x:v>43</x:v>
      </x:c>
      <x:c r="AC6" s="25" t="n">
        <x:v>0</x:v>
      </x:c>
      <x:c r="AD6" s="25"/>
      <x:c r="AE6" s="25"/>
      <x:c r="AF6" s="25"/>
      <x:c r="AG6" s="25"/>
      <x:c r="AH6" s="25"/>
      <x:c r="AI6" s="25"/>
      <x:c r="AJ6" s="43" t="n">
        <x:v>336.29677815476157</x:v>
      </x:c>
      <x:c r="AK6" s="28" t="n">
        <x:v>26</x:v>
      </x:c>
      <x:c r="AL6" s="31" t="n">
        <x:v>8.281153542207786</x:v>
      </x:c>
      <x:c r="AM6" s="31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8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  <x:col min="31" max="31" width="8" hidden="0" customWidth="1"/>
    <x:col min="32" max="32" width="8" hidden="0" customWidth="1"/>
    <x:col min="33" max="33" width="8" hidden="0" customWidth="1"/>
    <x:col min="34" max="34" width="8" hidden="0" customWidth="1"/>
    <x:col min="35" max="35" width="8" hidden="0" customWidth="1"/>
    <x:col min="36" max="36" width="8" hidden="0" customWidth="1"/>
    <x:col min="37" max="37" width="8" hidden="0" customWidth="1"/>
    <x:col min="38" max="38" width="8" hidden="0" customWidth="1"/>
    <x:col min="39" max="39" width="8" hidden="0" customWidth="1"/>
    <x:col min="40" max="40" width="8" hidden="0" customWidth="1"/>
    <x:col min="41" max="41" width="8" hidden="0" customWidth="1"/>
    <x:col min="42" max="42" width="8" hidden="0" customWidth="1"/>
    <x:col min="43" max="43" width="8" hidden="0" customWidth="1"/>
    <x:col min="44" max="44" width="8" hidden="0" customWidth="1"/>
    <x:col min="45" max="45" width="8" hidden="0" customWidth="1"/>
    <x:col min="46" max="46" width="8" hidden="0" customWidth="1"/>
    <x:col min="47" max="47" width="8" hidden="0" customWidth="1"/>
    <x:col min="48" max="48" width="8" hidden="0" customWidth="1"/>
    <x:col min="49" max="49" width="8" hidden="0" customWidth="1"/>
    <x:col min="50" max="50" width="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</x:cols>
  <x:sheetData>
    <x:row r="1" ht="39.599998474121094" hidden="0" customHeight="1">
      <x:c r="A1" s="17" t="str">
        <x:v>UAV ID</x:v>
      </x:c>
      <x:c r="B1" s="18" t="str">
        <x:v>1th Inspection Point</x:v>
      </x:c>
      <x:c r="C1" s="18" t="str">
        <x:v>2th Inspection Point</x:v>
      </x:c>
      <x:c r="D1" s="18" t="str">
        <x:v>3th Inspection Point</x:v>
      </x:c>
      <x:c r="E1" s="18" t="str">
        <x:v>4th Inspection Point</x:v>
      </x:c>
      <x:c r="F1" s="18" t="str">
        <x:v>5th Inspection Point</x:v>
      </x:c>
      <x:c r="G1" s="18" t="str">
        <x:v>6th Inspection Point</x:v>
      </x:c>
      <x:c r="H1" s="18" t="str">
        <x:v>7th Inspection Point</x:v>
      </x:c>
      <x:c r="I1" s="18" t="str">
        <x:v>8th Inspection Point</x:v>
      </x:c>
      <x:c r="J1" s="18" t="str">
        <x:v>9th Inspection Point</x:v>
      </x:c>
      <x:c r="K1" s="18" t="str">
        <x:v>10th Inspection Point</x:v>
      </x:c>
      <x:c r="L1" s="18" t="str">
        <x:v>11th Inspection Point</x:v>
      </x:c>
      <x:c r="M1" s="18" t="str">
        <x:v>12th Inspection Point</x:v>
      </x:c>
      <x:c r="N1" s="18" t="str">
        <x:v>13th Inspection Point</x:v>
      </x:c>
      <x:c r="O1" s="18" t="str">
        <x:v>14th Inspection Point</x:v>
      </x:c>
      <x:c r="P1" s="18" t="str">
        <x:v>15th Inspection Point</x:v>
      </x:c>
      <x:c r="Q1" s="18" t="str">
        <x:v>16th Inspection Point</x:v>
      </x:c>
      <x:c r="R1" s="18" t="str">
        <x:v>17th Inspection Point</x:v>
      </x:c>
      <x:c r="S1" s="18" t="str">
        <x:v>18th Inspection Point</x:v>
      </x:c>
      <x:c r="T1" s="18" t="str">
        <x:v>19th Inspection Point</x:v>
      </x:c>
      <x:c r="U1" s="18" t="str">
        <x:v>20th Inspection Point</x:v>
      </x:c>
      <x:c r="V1" s="18" t="str">
        <x:v>21th Inspection Point</x:v>
      </x:c>
      <x:c r="W1" s="18" t="str">
        <x:v>22th Inspection Point</x:v>
      </x:c>
      <x:c r="X1" s="18" t="str">
        <x:v>23th Inspection Point</x:v>
      </x:c>
      <x:c r="Y1" s="18" t="str">
        <x:v>24th Inspection Point</x:v>
      </x:c>
      <x:c r="Z1" s="18" t="str">
        <x:v>25th Inspection Point</x:v>
      </x:c>
      <x:c r="AA1" s="18" t="str">
        <x:v>26th Inspection Point</x:v>
      </x:c>
      <x:c r="AB1" s="18" t="str">
        <x:v>27th Inspection Point</x:v>
      </x:c>
      <x:c r="AC1" s="18" t="str">
        <x:v>28th Inspection Point</x:v>
      </x:c>
      <x:c r="AD1" s="18" t="str">
        <x:v>29th Inspection Point</x:v>
      </x:c>
      <x:c r="AE1" s="18" t="str">
        <x:v>30th Inspection Point</x:v>
      </x:c>
      <x:c r="AF1" s="18" t="str">
        <x:v>31th Inspection Point</x:v>
      </x:c>
      <x:c r="AG1" s="18" t="str">
        <x:v>32th Inspection Point</x:v>
      </x:c>
      <x:c r="AH1" s="18" t="str">
        <x:v>33th Inspection Point</x:v>
      </x:c>
      <x:c r="AI1" s="18" t="str">
        <x:v>34th Inspection Point</x:v>
      </x:c>
      <x:c r="AJ1" s="18" t="str">
        <x:v>35th Inspection Point</x:v>
      </x:c>
      <x:c r="AK1" s="18" t="str">
        <x:v>36th Inspection Point</x:v>
      </x:c>
      <x:c r="AL1" s="18" t="str">
        <x:v>37th Inspection Point</x:v>
      </x:c>
      <x:c r="AM1" s="18" t="str">
        <x:v>38th Inspection Point</x:v>
      </x:c>
      <x:c r="AN1" s="18" t="str">
        <x:v>39th Inspection Point</x:v>
      </x:c>
      <x:c r="AO1" s="18" t="str">
        <x:v>40th Inspection Point</x:v>
      </x:c>
      <x:c r="AP1" s="18" t="str">
        <x:v>41th Inspection Point</x:v>
      </x:c>
      <x:c r="AQ1" s="18" t="str">
        <x:v>42th Inspection Point</x:v>
      </x:c>
      <x:c r="AR1" s="18" t="str">
        <x:v>43th Inspection Point</x:v>
      </x:c>
      <x:c r="AS1" s="18" t="str">
        <x:v>44th Inspection Point</x:v>
      </x:c>
      <x:c r="AT1" s="18" t="str">
        <x:v>45th Inspection Point</x:v>
      </x:c>
      <x:c r="AU1" s="18" t="str">
        <x:v>46th Inspection Point</x:v>
      </x:c>
      <x:c r="AV1" s="18" t="str">
        <x:v>47th Inspection Point</x:v>
      </x:c>
      <x:c r="AW1" s="18" t="str">
        <x:v>48th Inspection Point</x:v>
      </x:c>
      <x:c r="AX1" s="18" t="str">
        <x:v>49th Inspection Point</x:v>
      </x:c>
      <x:c r="AY1" s="18" t="str">
        <x:v>Flight Distance (km)</x:v>
      </x:c>
      <x:c r="AZ1" s="18" t="str">
        <x:v>Inspection Count</x:v>
      </x:c>
      <x:c r="BA1" s="18" t="str">
        <x:v>Working Time (h)</x:v>
      </x:c>
      <x:c r="BB1" s="19" t="str">
        <x:v>Waiting Time (h)</x:v>
      </x:c>
    </x:row>
    <x:row r="2" ht="15" hidden="0" customHeight="1">
      <x:c r="A2" s="23" t="n">
        <x:v>1</x:v>
      </x:c>
      <x:c r="B2" s="23" t="n">
        <x:v>0</x:v>
      </x:c>
      <x:c r="C2" s="23" t="n">
        <x:v>69</x:v>
      </x:c>
      <x:c r="D2" s="23" t="n">
        <x:v>64</x:v>
      </x:c>
      <x:c r="E2" s="23" t="n">
        <x:v>124</x:v>
      </x:c>
      <x:c r="F2" s="23" t="n">
        <x:v>129</x:v>
      </x:c>
      <x:c r="G2" s="23" t="n">
        <x:v>1</x:v>
      </x:c>
      <x:c r="H2" s="23" t="n">
        <x:v>39</x:v>
      </x:c>
      <x:c r="I2" s="23" t="n">
        <x:v>41</x:v>
      </x:c>
      <x:c r="J2" s="23" t="n">
        <x:v>39</x:v>
      </x:c>
      <x:c r="K2" s="23" t="n">
        <x:v>71</x:v>
      </x:c>
      <x:c r="L2" s="23" t="n">
        <x:v>2</x:v>
      </x:c>
      <x:c r="M2" s="23" t="n">
        <x:v>54</x:v>
      </x:c>
      <x:c r="N2" s="23" t="n">
        <x:v>31</x:v>
      </x:c>
      <x:c r="O2" s="23" t="n">
        <x:v>100</x:v>
      </x:c>
      <x:c r="P2" s="23" t="n">
        <x:v>15</x:v>
      </x:c>
      <x:c r="Q2" s="23" t="n">
        <x:v>116</x:v>
      </x:c>
      <x:c r="R2" s="23" t="n">
        <x:v>54</x:v>
      </x:c>
      <x:c r="S2" s="23" t="n">
        <x:v>35</x:v>
      </x:c>
      <x:c r="T2" s="23" t="n">
        <x:v>118</x:v>
      </x:c>
      <x:c r="U2" s="23" t="n">
        <x:v>46</x:v>
      </x:c>
      <x:c r="V2" s="23" t="n">
        <x:v>18</x:v>
      </x:c>
      <x:c r="W2" s="23" t="n">
        <x:v>8</x:v>
      </x:c>
      <x:c r="X2" s="23" t="n">
        <x:v>108</x:v>
      </x:c>
      <x:c r="Y2" s="23" t="n">
        <x:v>3</x:v>
      </x:c>
      <x:c r="Z2" s="23" t="n">
        <x:v>114</x:v>
      </x:c>
      <x:c r="AA2" s="23" t="n">
        <x:v>126</x:v>
      </x:c>
      <x:c r="AB2" s="23" t="n">
        <x:v>121</x:v>
      </x:c>
      <x:c r="AC2" s="23" t="n">
        <x:v>78</x:v>
      </x:c>
      <x:c r="AD2" s="23" t="n">
        <x:v>59</x:v>
      </x:c>
      <x:c r="AE2" s="23" t="n">
        <x:v>90</x:v>
      </x:c>
      <x:c r="AF2" s="23" t="n">
        <x:v>125</x:v>
      </x:c>
      <x:c r="AG2" s="23" t="n">
        <x:v>90</x:v>
      </x:c>
      <x:c r="AH2" s="23" t="n">
        <x:v>66</x:v>
      </x:c>
      <x:c r="AI2" s="23" t="n">
        <x:v>85</x:v>
      </x:c>
      <x:c r="AJ2" s="23" t="n">
        <x:v>90</x:v>
      </x:c>
      <x:c r="AK2" s="23" t="n">
        <x:v>28</x:v>
      </x:c>
      <x:c r="AL2" s="23" t="n">
        <x:v>115</x:v>
      </x:c>
      <x:c r="AM2" s="23" t="n">
        <x:v>28</x:v>
      </x:c>
      <x:c r="AN2" s="23" t="n">
        <x:v>62</x:v>
      </x:c>
      <x:c r="AO2" s="23" t="n">
        <x:v>112</x:v>
      </x:c>
      <x:c r="AP2" s="23" t="n">
        <x:v>128</x:v>
      </x:c>
      <x:c r="AQ2" s="23" t="n">
        <x:v>16</x:v>
      </x:c>
      <x:c r="AR2" s="23" t="n">
        <x:v>45</x:v>
      </x:c>
      <x:c r="AS2" s="23" t="n">
        <x:v>129</x:v>
      </x:c>
      <x:c r="AT2" s="23" t="n">
        <x:v>124</x:v>
      </x:c>
      <x:c r="AU2" s="23" t="n">
        <x:v>0</x:v>
      </x:c>
      <x:c r="AV2" s="23"/>
      <x:c r="AW2" s="23"/>
      <x:c r="AX2" s="23"/>
      <x:c r="AY2" s="41" t="n">
        <x:v>272.4158855566819</x:v>
      </x:c>
      <x:c r="AZ2" s="26" t="n">
        <x:v>44</x:v>
      </x:c>
      <x:c r="BA2" s="29" t="n">
        <x:v>8.619682767697247</x:v>
      </x:c>
      <x:c r="BB2" s="29" t="n">
        <x:v>0</x:v>
      </x:c>
    </x:row>
    <x:row r="3" ht="15" hidden="0" customHeight="1">
      <x:c r="A3" s="24" t="n">
        <x:v>2</x:v>
      </x:c>
      <x:c r="B3" s="24" t="n">
        <x:v>0</x:v>
      </x:c>
      <x:c r="C3" s="24" t="n">
        <x:v>86</x:v>
      </x:c>
      <x:c r="D3" s="24" t="n">
        <x:v>88</x:v>
      </x:c>
      <x:c r="E3" s="24" t="n">
        <x:v>26</x:v>
      </x:c>
      <x:c r="F3" s="24" t="n">
        <x:v>97</x:v>
      </x:c>
      <x:c r="G3" s="24" t="n">
        <x:v>68</x:v>
      </x:c>
      <x:c r="H3" s="24" t="n">
        <x:v>110</x:v>
      </x:c>
      <x:c r="I3" s="24" t="n">
        <x:v>89</x:v>
      </x:c>
      <x:c r="J3" s="24" t="n">
        <x:v>94</x:v>
      </x:c>
      <x:c r="K3" s="24" t="n">
        <x:v>89</x:v>
      </x:c>
      <x:c r="L3" s="24" t="n">
        <x:v>19</x:v>
      </x:c>
      <x:c r="M3" s="24" t="n">
        <x:v>100</x:v>
      </x:c>
      <x:c r="N3" s="24" t="n">
        <x:v>31</x:v>
      </x:c>
      <x:c r="O3" s="24" t="n">
        <x:v>17</x:v>
      </x:c>
      <x:c r="P3" s="24" t="n">
        <x:v>54</x:v>
      </x:c>
      <x:c r="Q3" s="24" t="n">
        <x:v>35</x:v>
      </x:c>
      <x:c r="R3" s="24" t="n">
        <x:v>4</x:v>
      </x:c>
      <x:c r="S3" s="24" t="n">
        <x:v>106</x:v>
      </x:c>
      <x:c r="T3" s="24" t="n">
        <x:v>49</x:v>
      </x:c>
      <x:c r="U3" s="24" t="n">
        <x:v>120</x:v>
      </x:c>
      <x:c r="V3" s="24" t="n">
        <x:v>6</x:v>
      </x:c>
      <x:c r="W3" s="24" t="n">
        <x:v>102</x:v>
      </x:c>
      <x:c r="X3" s="24" t="n">
        <x:v>10</x:v>
      </x:c>
      <x:c r="Y3" s="24" t="n">
        <x:v>14</x:v>
      </x:c>
      <x:c r="Z3" s="24" t="n">
        <x:v>96</x:v>
      </x:c>
      <x:c r="AA3" s="24" t="n">
        <x:v>67</x:v>
      </x:c>
      <x:c r="AB3" s="24" t="n">
        <x:v>13</x:v>
      </x:c>
      <x:c r="AC3" s="24" t="n">
        <x:v>67</x:v>
      </x:c>
      <x:c r="AD3" s="24" t="n">
        <x:v>96</x:v>
      </x:c>
      <x:c r="AE3" s="24" t="n">
        <x:v>122</x:v>
      </x:c>
      <x:c r="AF3" s="24" t="n">
        <x:v>55</x:v>
      </x:c>
      <x:c r="AG3" s="24" t="n">
        <x:v>122</x:v>
      </x:c>
      <x:c r="AH3" s="24" t="n">
        <x:v>40</x:v>
      </x:c>
      <x:c r="AI3" s="24" t="n">
        <x:v>47</x:v>
      </x:c>
      <x:c r="AJ3" s="24" t="n">
        <x:v>22</x:v>
      </x:c>
      <x:c r="AK3" s="24" t="n">
        <x:v>37</x:v>
      </x:c>
      <x:c r="AL3" s="24" t="n">
        <x:v>93</x:v>
      </x:c>
      <x:c r="AM3" s="24" t="n">
        <x:v>20</x:v>
      </x:c>
      <x:c r="AN3" s="24" t="n">
        <x:v>46</x:v>
      </x:c>
      <x:c r="AO3" s="24" t="n">
        <x:v>80</x:v>
      </x:c>
      <x:c r="AP3" s="24" t="n">
        <x:v>50</x:v>
      </x:c>
      <x:c r="AQ3" s="24" t="n">
        <x:v>130</x:v>
      </x:c>
      <x:c r="AR3" s="24" t="n">
        <x:v>39</x:v>
      </x:c>
      <x:c r="AS3" s="24" t="n">
        <x:v>1</x:v>
      </x:c>
      <x:c r="AT3" s="24" t="n">
        <x:v>76</x:v>
      </x:c>
      <x:c r="AU3" s="24" t="n">
        <x:v>109</x:v>
      </x:c>
      <x:c r="AV3" s="24" t="n">
        <x:v>61</x:v>
      </x:c>
      <x:c r="AW3" s="24" t="n">
        <x:v>64</x:v>
      </x:c>
      <x:c r="AX3" s="24" t="n">
        <x:v>0</x:v>
      </x:c>
      <x:c r="AY3" s="42" t="n">
        <x:v>258.24390096454573</x:v>
      </x:c>
      <x:c r="AZ3" s="27" t="n">
        <x:v>47</x:v>
      </x:c>
      <x:c r="BA3" s="30" t="n">
        <x:v>8.612010320567498</x:v>
      </x:c>
      <x:c r="BB3" s="30" t="n">
        <x:v>0</x:v>
      </x:c>
    </x:row>
    <x:row r="4" ht="15" hidden="0" customHeight="1">
      <x:c r="A4" s="24" t="n">
        <x:v>3</x:v>
      </x:c>
      <x:c r="B4" s="24" t="n">
        <x:v>0</x:v>
      </x:c>
      <x:c r="C4" s="24" t="n">
        <x:v>86</x:v>
      </x:c>
      <x:c r="D4" s="24" t="n">
        <x:v>26</x:v>
      </x:c>
      <x:c r="E4" s="24" t="n">
        <x:v>97</x:v>
      </x:c>
      <x:c r="F4" s="24" t="n">
        <x:v>70</x:v>
      </x:c>
      <x:c r="G4" s="24" t="n">
        <x:v>63</x:v>
      </x:c>
      <x:c r="H4" s="24" t="n">
        <x:v>68</x:v>
      </x:c>
      <x:c r="I4" s="24" t="n">
        <x:v>113</x:v>
      </x:c>
      <x:c r="J4" s="24" t="n">
        <x:v>32</x:v>
      </x:c>
      <x:c r="K4" s="24" t="n">
        <x:v>36</x:v>
      </x:c>
      <x:c r="L4" s="24" t="n">
        <x:v>84</x:v>
      </x:c>
      <x:c r="M4" s="24" t="n">
        <x:v>119</x:v>
      </x:c>
      <x:c r="N4" s="24" t="n">
        <x:v>101</x:v>
      </x:c>
      <x:c r="O4" s="24" t="n">
        <x:v>111</x:v>
      </x:c>
      <x:c r="P4" s="24" t="n">
        <x:v>123</x:v>
      </x:c>
      <x:c r="Q4" s="24" t="n">
        <x:v>101</x:v>
      </x:c>
      <x:c r="R4" s="24" t="n">
        <x:v>82</x:v>
      </x:c>
      <x:c r="S4" s="24" t="n">
        <x:v>57</x:v>
      </x:c>
      <x:c r="T4" s="24" t="n">
        <x:v>9</x:v>
      </x:c>
      <x:c r="U4" s="24" t="n">
        <x:v>52</x:v>
      </x:c>
      <x:c r="V4" s="24" t="n">
        <x:v>75</x:v>
      </x:c>
      <x:c r="W4" s="24" t="n">
        <x:v>73</x:v>
      </x:c>
      <x:c r="X4" s="24" t="n">
        <x:v>74</x:v>
      </x:c>
      <x:c r="Y4" s="24" t="n">
        <x:v>73</x:v>
      </x:c>
      <x:c r="Z4" s="24" t="n">
        <x:v>99</x:v>
      </x:c>
      <x:c r="AA4" s="24" t="n">
        <x:v>73</x:v>
      </x:c>
      <x:c r="AB4" s="24" t="n">
        <x:v>65</x:v>
      </x:c>
      <x:c r="AC4" s="24" t="n">
        <x:v>56</x:v>
      </x:c>
      <x:c r="AD4" s="24" t="n">
        <x:v>65</x:v>
      </x:c>
      <x:c r="AE4" s="24" t="n">
        <x:v>103</x:v>
      </x:c>
      <x:c r="AF4" s="24" t="n">
        <x:v>77</x:v>
      </x:c>
      <x:c r="AG4" s="24" t="n">
        <x:v>81</x:v>
      </x:c>
      <x:c r="AH4" s="24" t="n">
        <x:v>87</x:v>
      </x:c>
      <x:c r="AI4" s="24" t="n">
        <x:v>12</x:v>
      </x:c>
      <x:c r="AJ4" s="24" t="n">
        <x:v>38</x:v>
      </x:c>
      <x:c r="AK4" s="24" t="n">
        <x:v>79</x:v>
      </x:c>
      <x:c r="AL4" s="24" t="n">
        <x:v>95</x:v>
      </x:c>
      <x:c r="AM4" s="24" t="n">
        <x:v>24</x:v>
      </x:c>
      <x:c r="AN4" s="24" t="n">
        <x:v>116</x:v>
      </x:c>
      <x:c r="AO4" s="24" t="n">
        <x:v>100</x:v>
      </x:c>
      <x:c r="AP4" s="24" t="n">
        <x:v>27</x:v>
      </x:c>
      <x:c r="AQ4" s="24" t="n">
        <x:v>34</x:v>
      </x:c>
      <x:c r="AR4" s="24" t="n">
        <x:v>43</x:v>
      </x:c>
      <x:c r="AS4" s="24" t="n">
        <x:v>104</x:v>
      </x:c>
      <x:c r="AT4" s="24" t="n">
        <x:v>107</x:v>
      </x:c>
      <x:c r="AU4" s="24" t="n">
        <x:v>127</x:v>
      </x:c>
      <x:c r="AV4" s="24" t="n">
        <x:v>124</x:v>
      </x:c>
      <x:c r="AW4" s="24" t="n">
        <x:v>64</x:v>
      </x:c>
      <x:c r="AX4" s="24" t="n">
        <x:v>0</x:v>
      </x:c>
      <x:c r="AY4" s="42" t="n">
        <x:v>258.28926127114613</x:v>
      </x:c>
      <x:c r="AZ4" s="27" t="n">
        <x:v>47</x:v>
      </x:c>
      <x:c r="BA4" s="30" t="n">
        <x:v>8.612835053414779</x:v>
      </x:c>
      <x:c r="BB4" s="30" t="n">
        <x:v>0</x:v>
      </x:c>
    </x:row>
    <x:row r="5" ht="15" hidden="0" customHeight="1">
      <x:c r="A5" s="25" t="n">
        <x:v>4</x:v>
      </x:c>
      <x:c r="B5" s="25" t="n">
        <x:v>0</x:v>
      </x:c>
      <x:c r="C5" s="25" t="n">
        <x:v>5</x:v>
      </x:c>
      <x:c r="D5" s="25" t="n">
        <x:v>11</x:v>
      </x:c>
      <x:c r="E5" s="25" t="n">
        <x:v>5</x:v>
      </x:c>
      <x:c r="F5" s="25" t="n">
        <x:v>16</x:v>
      </x:c>
      <x:c r="G5" s="25" t="n">
        <x:v>105</x:v>
      </x:c>
      <x:c r="H5" s="25" t="n">
        <x:v>112</x:v>
      </x:c>
      <x:c r="I5" s="25" t="n">
        <x:v>117</x:v>
      </x:c>
      <x:c r="J5" s="25" t="n">
        <x:v>112</x:v>
      </x:c>
      <x:c r="K5" s="25" t="n">
        <x:v>62</x:v>
      </x:c>
      <x:c r="L5" s="25" t="n">
        <x:v>28</x:v>
      </x:c>
      <x:c r="M5" s="25" t="n">
        <x:v>83</x:v>
      </x:c>
      <x:c r="N5" s="25" t="n">
        <x:v>30</x:v>
      </x:c>
      <x:c r="O5" s="25" t="n">
        <x:v>59</x:v>
      </x:c>
      <x:c r="P5" s="25" t="n">
        <x:v>126</x:v>
      </x:c>
      <x:c r="Q5" s="25" t="n">
        <x:v>21</x:v>
      </x:c>
      <x:c r="R5" s="25" t="n">
        <x:v>33</x:v>
      </x:c>
      <x:c r="S5" s="25" t="n">
        <x:v>23</x:v>
      </x:c>
      <x:c r="T5" s="25" t="n">
        <x:v>40</x:v>
      </x:c>
      <x:c r="U5" s="25" t="n">
        <x:v>37</x:v>
      </x:c>
      <x:c r="V5" s="25" t="n">
        <x:v>44</x:v>
      </x:c>
      <x:c r="W5" s="25" t="n">
        <x:v>42</x:v>
      </x:c>
      <x:c r="X5" s="25" t="n">
        <x:v>51</x:v>
      </x:c>
      <x:c r="Y5" s="25" t="n">
        <x:v>60</x:v>
      </x:c>
      <x:c r="Z5" s="25" t="n">
        <x:v>53</x:v>
      </x:c>
      <x:c r="AA5" s="25" t="n">
        <x:v>49</x:v>
      </x:c>
      <x:c r="AB5" s="25" t="n">
        <x:v>58</x:v>
      </x:c>
      <x:c r="AC5" s="25" t="n">
        <x:v>49</x:v>
      </x:c>
      <x:c r="AD5" s="25" t="n">
        <x:v>72</x:v>
      </x:c>
      <x:c r="AE5" s="25" t="n">
        <x:v>91</x:v>
      </x:c>
      <x:c r="AF5" s="25" t="n">
        <x:v>72</x:v>
      </x:c>
      <x:c r="AG5" s="25" t="n">
        <x:v>92</x:v>
      </x:c>
      <x:c r="AH5" s="25" t="n">
        <x:v>12</x:v>
      </x:c>
      <x:c r="AI5" s="25" t="n">
        <x:v>24</x:v>
      </x:c>
      <x:c r="AJ5" s="25" t="n">
        <x:v>15</x:v>
      </x:c>
      <x:c r="AK5" s="25" t="n">
        <x:v>29</x:v>
      </x:c>
      <x:c r="AL5" s="25" t="n">
        <x:v>15</x:v>
      </x:c>
      <x:c r="AM5" s="25" t="n">
        <x:v>89</x:v>
      </x:c>
      <x:c r="AN5" s="25" t="n">
        <x:v>110</x:v>
      </x:c>
      <x:c r="AO5" s="25" t="n">
        <x:v>98</x:v>
      </x:c>
      <x:c r="AP5" s="25" t="n">
        <x:v>25</x:v>
      </x:c>
      <x:c r="AQ5" s="25" t="n">
        <x:v>48</x:v>
      </x:c>
      <x:c r="AR5" s="25" t="n">
        <x:v>7</x:v>
      </x:c>
      <x:c r="AS5" s="25" t="n">
        <x:v>88</x:v>
      </x:c>
      <x:c r="AT5" s="25" t="n">
        <x:v>86</x:v>
      </x:c>
      <x:c r="AU5" s="25" t="n">
        <x:v>0</x:v>
      </x:c>
      <x:c r="AV5" s="25"/>
      <x:c r="AW5" s="25"/>
      <x:c r="AX5" s="25"/>
      <x:c r="AY5" s="43" t="n">
        <x:v>272.0615417820337</x:v>
      </x:c>
      <x:c r="AZ5" s="28" t="n">
        <x:v>44</x:v>
      </x:c>
      <x:c r="BA5" s="31" t="n">
        <x:v>8.613240153612734</x:v>
      </x:c>
      <x:c r="BB5" s="31" t="n">
        <x:v>0</x:v>
      </x:c>
    </x:row>
  </x:sheetData>
  <x:pageMargins left="0.7" right="0.7" top="0.75" bottom="0.75" header="0.3" footer="0.3"/>
</x:worksheet>
</file>